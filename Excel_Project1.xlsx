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iya\Official\Data Analyst\Github\Excel_Project-Data_Analytics\Project1-Dashboard\"/>
    </mc:Choice>
  </mc:AlternateContent>
  <xr:revisionPtr revIDLastSave="0" documentId="13_ncr:1_{8F46DEF5-006D-4C54-82D5-0ABAF4D62F4B}" xr6:coauthVersionLast="47" xr6:coauthVersionMax="47" xr10:uidLastSave="{00000000-0000-0000-0000-000000000000}"/>
  <bookViews>
    <workbookView xWindow="-108" yWindow="-108" windowWidth="23256" windowHeight="12456" firstSheet="1" activeTab="1" xr2:uid="{6884010C-0534-416A-AF0B-9EA54FA4509F}"/>
  </bookViews>
  <sheets>
    <sheet name="Basic Data" sheetId="4" state="hidden" r:id="rId1"/>
    <sheet name="Revenue_Dashboard" sheetId="7" r:id="rId2"/>
    <sheet name="Data_Validation" sheetId="3" state="hidden" r:id="rId3"/>
    <sheet name="Orders By Branches" sheetId="8" state="hidden" r:id="rId4"/>
    <sheet name="Orders By Food item" sheetId="6" state="hidden" r:id="rId5"/>
    <sheet name="Order By Food Category" sheetId="2" state="hidden" r:id="rId6"/>
  </sheets>
  <definedNames>
    <definedName name="_xlnm._FilterDatabase" localSheetId="0" hidden="1">'Basic Data'!$A$1:$E$41</definedName>
    <definedName name="branches">Revenue_Dashboard!$C$4</definedName>
    <definedName name="Count_By_Food_Item">'Orders By Food item'!$H$2</definedName>
    <definedName name="Food_Category">Revenue_Dashboard!$P$4</definedName>
    <definedName name="Food_Items">Revenue_Dashboard!$I$4</definedName>
    <definedName name="Revenue_By_Branches">'Orders By Branches'!$K$2</definedName>
    <definedName name="Revenue_By_Food_Category">'Order By Food Category'!$I$2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 a="1"/>
  <c r="B2" i="8" s="1"/>
  <c r="A2" i="8" a="1"/>
  <c r="A2" i="8" s="1"/>
  <c r="A2" i="2" a="1"/>
  <c r="A2" i="2" s="1"/>
  <c r="C2" i="2" s="1"/>
  <c r="G2" i="3" a="1"/>
  <c r="G2" i="3" s="1"/>
  <c r="F3" i="4"/>
  <c r="F4" i="4"/>
  <c r="F5" i="4"/>
  <c r="F6" i="4"/>
  <c r="F7" i="4"/>
  <c r="F8" i="4"/>
  <c r="C4" i="8" s="1"/>
  <c r="F9" i="4"/>
  <c r="F10" i="4"/>
  <c r="F11" i="4"/>
  <c r="C5" i="8" s="1"/>
  <c r="F12" i="4"/>
  <c r="F13" i="4"/>
  <c r="F14" i="4"/>
  <c r="F15" i="4"/>
  <c r="C6" i="8" s="1"/>
  <c r="F16" i="4"/>
  <c r="C7" i="8" s="1"/>
  <c r="F17" i="4"/>
  <c r="F18" i="4"/>
  <c r="F19" i="4"/>
  <c r="C8" i="8" s="1"/>
  <c r="F20" i="4"/>
  <c r="F21" i="4"/>
  <c r="F22" i="4"/>
  <c r="C9" i="8" s="1"/>
  <c r="F23" i="4"/>
  <c r="C10" i="8" s="1"/>
  <c r="F24" i="4"/>
  <c r="F25" i="4"/>
  <c r="F26" i="4"/>
  <c r="C11" i="8" s="1"/>
  <c r="F27" i="4"/>
  <c r="F28" i="4"/>
  <c r="C12" i="8" s="1"/>
  <c r="F29" i="4"/>
  <c r="F30" i="4"/>
  <c r="C13" i="8" s="1"/>
  <c r="F31" i="4"/>
  <c r="F32" i="4"/>
  <c r="F33" i="4"/>
  <c r="F34" i="4"/>
  <c r="C14" i="8" s="1"/>
  <c r="F35" i="4"/>
  <c r="C15" i="8" s="1"/>
  <c r="F36" i="4"/>
  <c r="F37" i="4"/>
  <c r="F38" i="4"/>
  <c r="F39" i="4"/>
  <c r="C16" i="8" s="1"/>
  <c r="F40" i="4"/>
  <c r="C17" i="8" s="1"/>
  <c r="F41" i="4"/>
  <c r="F2" i="4"/>
  <c r="A2" i="6" a="1"/>
  <c r="A2" i="6" s="1"/>
  <c r="B2" i="6" s="1"/>
  <c r="K2" i="3" a="1"/>
  <c r="K2" i="3" s="1"/>
  <c r="B2" i="3" a="1"/>
  <c r="B2" i="3" s="1"/>
  <c r="C7" i="2" l="1"/>
  <c r="C5" i="2"/>
  <c r="C3" i="2"/>
  <c r="B7" i="2"/>
  <c r="C8" i="2"/>
  <c r="C4" i="2"/>
  <c r="C6" i="2"/>
  <c r="B31" i="6"/>
  <c r="B27" i="6"/>
  <c r="B23" i="6"/>
  <c r="B19" i="6"/>
  <c r="B15" i="6"/>
  <c r="B11" i="6"/>
  <c r="B7" i="6"/>
  <c r="B3" i="6"/>
  <c r="C21" i="6"/>
  <c r="C34" i="6"/>
  <c r="C2" i="6"/>
  <c r="C23" i="6"/>
  <c r="B34" i="6"/>
  <c r="B30" i="6"/>
  <c r="B26" i="6"/>
  <c r="B22" i="6"/>
  <c r="B18" i="6"/>
  <c r="B14" i="6"/>
  <c r="B10" i="6"/>
  <c r="B6" i="6"/>
  <c r="C3" i="6"/>
  <c r="C8" i="6"/>
  <c r="C29" i="6"/>
  <c r="C11" i="6"/>
  <c r="C19" i="6"/>
  <c r="C31" i="6"/>
  <c r="C15" i="6"/>
  <c r="C30" i="6"/>
  <c r="C33" i="6"/>
  <c r="C17" i="6"/>
  <c r="B33" i="6"/>
  <c r="B29" i="6"/>
  <c r="B25" i="6"/>
  <c r="B21" i="6"/>
  <c r="B17" i="6"/>
  <c r="B13" i="6"/>
  <c r="B9" i="6"/>
  <c r="B5" i="6"/>
  <c r="C7" i="6"/>
  <c r="C14" i="6"/>
  <c r="C32" i="6"/>
  <c r="C25" i="6"/>
  <c r="C18" i="6"/>
  <c r="C20" i="6"/>
  <c r="C16" i="6"/>
  <c r="C28" i="6"/>
  <c r="C10" i="6"/>
  <c r="B32" i="6"/>
  <c r="B28" i="6"/>
  <c r="B24" i="6"/>
  <c r="B20" i="6"/>
  <c r="B16" i="6"/>
  <c r="B12" i="6"/>
  <c r="B8" i="6"/>
  <c r="B4" i="6"/>
  <c r="C6" i="6"/>
  <c r="C13" i="6"/>
  <c r="C27" i="6"/>
  <c r="C9" i="6"/>
  <c r="C24" i="6"/>
  <c r="D3" i="8"/>
  <c r="C4" i="6"/>
  <c r="B8" i="2"/>
  <c r="B4" i="2"/>
  <c r="B3" i="2"/>
  <c r="B6" i="2"/>
  <c r="C26" i="6"/>
  <c r="C5" i="6"/>
  <c r="B2" i="2"/>
  <c r="B5" i="2"/>
  <c r="C12" i="6"/>
  <c r="C22" i="6"/>
  <c r="E2" i="6" l="1" a="1"/>
  <c r="E2" i="6" s="1"/>
  <c r="H2" i="6" s="1"/>
  <c r="F2" i="2" a="1"/>
  <c r="F2" i="2" s="1"/>
  <c r="I2" i="2" s="1"/>
  <c r="C3" i="8"/>
  <c r="D8" i="8"/>
  <c r="D12" i="8"/>
  <c r="D16" i="8"/>
  <c r="D4" i="8"/>
  <c r="D5" i="8"/>
  <c r="D9" i="8"/>
  <c r="D13" i="8"/>
  <c r="D17" i="8"/>
  <c r="D6" i="8"/>
  <c r="D10" i="8"/>
  <c r="D14" i="8"/>
  <c r="D7" i="8"/>
  <c r="D11" i="8"/>
  <c r="D15" i="8"/>
  <c r="D2" i="8" l="1"/>
  <c r="C2" i="8"/>
  <c r="G2" i="8" s="1" a="1"/>
  <c r="G2" i="8" s="1"/>
  <c r="K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<sst xmlns="http://schemas.openxmlformats.org/spreadsheetml/2006/main" count="208" uniqueCount="78">
  <si>
    <t>Starters</t>
  </si>
  <si>
    <t>Gobi Manchurian</t>
  </si>
  <si>
    <t>Gobi 65</t>
  </si>
  <si>
    <t>Baby corn chilli</t>
  </si>
  <si>
    <t>Panner Manchurian</t>
  </si>
  <si>
    <t>Baby corn Manchurian</t>
  </si>
  <si>
    <t>Soup</t>
  </si>
  <si>
    <t>Tomato Soup</t>
  </si>
  <si>
    <t>Butter Naan</t>
  </si>
  <si>
    <t>Garlic Naan</t>
  </si>
  <si>
    <t>Phulka</t>
  </si>
  <si>
    <t>Aloo Paratha</t>
  </si>
  <si>
    <t>Paneer Paratha</t>
  </si>
  <si>
    <t>Rice</t>
  </si>
  <si>
    <t>Items</t>
  </si>
  <si>
    <t>Price</t>
  </si>
  <si>
    <t>Veg Fried Rice</t>
  </si>
  <si>
    <t>Paneer Fried Rice</t>
  </si>
  <si>
    <t>Ghee Rice</t>
  </si>
  <si>
    <t>Veg Briyani</t>
  </si>
  <si>
    <t>Tomato Rice</t>
  </si>
  <si>
    <t>Gravy</t>
  </si>
  <si>
    <t>Kadai Paneer</t>
  </si>
  <si>
    <t>Malai Kofta</t>
  </si>
  <si>
    <t>Kadai Veg</t>
  </si>
  <si>
    <t>Veg Kurma</t>
  </si>
  <si>
    <t>Green Peas Masala</t>
  </si>
  <si>
    <t>Noodles</t>
  </si>
  <si>
    <t>Veg Noodles</t>
  </si>
  <si>
    <t>Mushroom Noodles</t>
  </si>
  <si>
    <t>Paneer Noodles</t>
  </si>
  <si>
    <t>Schezwan Veg Noodles</t>
  </si>
  <si>
    <t>Schezwan Paneer Noodles</t>
  </si>
  <si>
    <t>Chocolate Cake</t>
  </si>
  <si>
    <t>Strawberry Cheese Cake</t>
  </si>
  <si>
    <t>Coconut Cake</t>
  </si>
  <si>
    <t>Triple Chocolate</t>
  </si>
  <si>
    <t>Brownie with Icecream</t>
  </si>
  <si>
    <t>Veg soup</t>
  </si>
  <si>
    <t>Sweet Corn Soup</t>
  </si>
  <si>
    <t>Quantity</t>
  </si>
  <si>
    <t>Category</t>
  </si>
  <si>
    <t>Branch</t>
  </si>
  <si>
    <t>K.K Nagar</t>
  </si>
  <si>
    <t>Guindy</t>
  </si>
  <si>
    <t>Roti</t>
  </si>
  <si>
    <t>Desert</t>
  </si>
  <si>
    <t>Tambaram</t>
  </si>
  <si>
    <t>Kolapakkam</t>
  </si>
  <si>
    <t>Porur</t>
  </si>
  <si>
    <t>Maduravoyal</t>
  </si>
  <si>
    <t>Pallavaram</t>
  </si>
  <si>
    <t>Anna Nagar</t>
  </si>
  <si>
    <t>T. Nagar</t>
  </si>
  <si>
    <t>Velacherry</t>
  </si>
  <si>
    <t>Saidapet</t>
  </si>
  <si>
    <t>Chrompet</t>
  </si>
  <si>
    <t>Mogapir</t>
  </si>
  <si>
    <t>Sholinganallur</t>
  </si>
  <si>
    <t>Nungambakkam</t>
  </si>
  <si>
    <t>Kodambakkam</t>
  </si>
  <si>
    <t>Branches</t>
  </si>
  <si>
    <t>Branches Sorted</t>
  </si>
  <si>
    <t>Revenue By Branch</t>
  </si>
  <si>
    <t>Count of food items ordered</t>
  </si>
  <si>
    <t>Food Category</t>
  </si>
  <si>
    <t>Food Items</t>
  </si>
  <si>
    <t>Branches_Sorted</t>
  </si>
  <si>
    <t>Food_Items_Sorted</t>
  </si>
  <si>
    <t>Count of Food Items Ordered</t>
  </si>
  <si>
    <t>Revenue By Food Items</t>
  </si>
  <si>
    <t>Revenue</t>
  </si>
  <si>
    <t>Food Category Sorted</t>
  </si>
  <si>
    <t>Count of Food Category</t>
  </si>
  <si>
    <t>Revenue By Food Category</t>
  </si>
  <si>
    <t>Branch Filter</t>
  </si>
  <si>
    <t>Food _Category_Sorted</t>
  </si>
  <si>
    <t>Revenue Dashboard for 2K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</si>
</sst>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6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5" applyNumberFormat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3" xfId="0" applyFont="1" applyBorder="1"/>
    <xf numFmtId="0" fontId="2" fillId="0" borderId="0" xfId="0" applyFont="1"/>
    <xf numFmtId="164" fontId="0" fillId="0" borderId="1" xfId="0" applyNumberFormat="1" applyBorder="1"/>
    <xf numFmtId="0" fontId="6" fillId="2" borderId="5" xfId="3"/>
    <xf numFmtId="0" fontId="7" fillId="0" borderId="0" xfId="0" applyFont="1"/>
    <xf numFmtId="0" fontId="9" fillId="0" borderId="0" xfId="2" applyFont="1" applyBorder="1" applyAlignment="1">
      <alignment horizontal="center" vertical="center"/>
    </xf>
    <xf numFmtId="164" fontId="0" fillId="0" borderId="0" xfId="0" applyNumberFormat="1"/>
    <xf numFmtId="0" fontId="9" fillId="0" borderId="0" xfId="2" applyFont="1" applyBorder="1" applyAlignment="1">
      <alignment horizontal="left" vertical="center"/>
    </xf>
    <xf numFmtId="0" fontId="8" fillId="0" borderId="4" xfId="1" applyFont="1" applyAlignment="1">
      <alignment horizontal="center" vertical="center"/>
    </xf>
  </cellXfs>
  <cellStyles count="4">
    <cellStyle name="Heading 1" xfId="1" builtinId="16"/>
    <cellStyle name="Heading 4" xfId="2" builtinId="19"/>
    <cellStyle name="Input" xfId="3" builtinId="20"/>
    <cellStyle name="Normal" xfId="0" builtinId="0"/>
  </cellStyles>
  <dxfs count="0"/>
  <tableStyles count="0" defaultTableStyle="TableStyleMedium2" defaultPivotStyle="PivotStyleLight16"/>
  <colors>
    <mruColors>
      <color rgb="FFF2A57E"/>
      <color rgb="FFC833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Branches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By Branches'!$G$2:$G$17</c:f>
              <c:strCache>
                <c:ptCount val="16"/>
                <c:pt idx="0">
                  <c:v>Maduravoyal</c:v>
                </c:pt>
                <c:pt idx="1">
                  <c:v>Guindy</c:v>
                </c:pt>
                <c:pt idx="2">
                  <c:v>K.K Nagar</c:v>
                </c:pt>
                <c:pt idx="3">
                  <c:v>T. Nagar</c:v>
                </c:pt>
                <c:pt idx="4">
                  <c:v>Velacherry</c:v>
                </c:pt>
                <c:pt idx="5">
                  <c:v>Nungambakkam</c:v>
                </c:pt>
                <c:pt idx="6">
                  <c:v>Pallavaram</c:v>
                </c:pt>
                <c:pt idx="7">
                  <c:v>Saidapet</c:v>
                </c:pt>
                <c:pt idx="8">
                  <c:v>Kolapakkam</c:v>
                </c:pt>
                <c:pt idx="9">
                  <c:v>Porur</c:v>
                </c:pt>
                <c:pt idx="10">
                  <c:v>Tambaram</c:v>
                </c:pt>
                <c:pt idx="11">
                  <c:v>Mogapir</c:v>
                </c:pt>
                <c:pt idx="12">
                  <c:v>Anna Nagar</c:v>
                </c:pt>
                <c:pt idx="13">
                  <c:v>Chrompet</c:v>
                </c:pt>
                <c:pt idx="14">
                  <c:v>Kodambakkam</c:v>
                </c:pt>
                <c:pt idx="15">
                  <c:v>Sholinganallur</c:v>
                </c:pt>
              </c:strCache>
            </c:strRef>
          </c:cat>
          <c:val>
            <c:numRef>
              <c:f>'Orders By Branches'!$H$2:$H$17</c:f>
              <c:numCache>
                <c:formatCode>"₹"\ #,##0</c:formatCode>
                <c:ptCount val="16"/>
                <c:pt idx="0">
                  <c:v>7830</c:v>
                </c:pt>
                <c:pt idx="1">
                  <c:v>6950</c:v>
                </c:pt>
                <c:pt idx="2">
                  <c:v>5865</c:v>
                </c:pt>
                <c:pt idx="3">
                  <c:v>5570</c:v>
                </c:pt>
                <c:pt idx="4">
                  <c:v>4290</c:v>
                </c:pt>
                <c:pt idx="5">
                  <c:v>4110</c:v>
                </c:pt>
                <c:pt idx="6">
                  <c:v>3730</c:v>
                </c:pt>
                <c:pt idx="7">
                  <c:v>3285</c:v>
                </c:pt>
                <c:pt idx="8">
                  <c:v>2505</c:v>
                </c:pt>
                <c:pt idx="9">
                  <c:v>2320</c:v>
                </c:pt>
                <c:pt idx="10">
                  <c:v>1760</c:v>
                </c:pt>
                <c:pt idx="11">
                  <c:v>1190</c:v>
                </c:pt>
                <c:pt idx="12">
                  <c:v>961</c:v>
                </c:pt>
                <c:pt idx="13">
                  <c:v>930</c:v>
                </c:pt>
                <c:pt idx="14">
                  <c:v>560</c:v>
                </c:pt>
                <c:pt idx="15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1-4ED6-8AD1-89CD64D0D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526160"/>
        <c:axId val="516521120"/>
      </c:barChart>
      <c:catAx>
        <c:axId val="51652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21120"/>
        <c:crosses val="autoZero"/>
        <c:auto val="1"/>
        <c:lblAlgn val="ctr"/>
        <c:lblOffset val="100"/>
        <c:noMultiLvlLbl val="0"/>
      </c:catAx>
      <c:valAx>
        <c:axId val="5165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;[Red]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2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By Food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'Orders By Food item'!$E$2:$E$28</c:f>
              <c:strCache>
                <c:ptCount val="27"/>
                <c:pt idx="0">
                  <c:v>Gobi Manchurian</c:v>
                </c:pt>
                <c:pt idx="1">
                  <c:v>Baby corn chilli</c:v>
                </c:pt>
                <c:pt idx="2">
                  <c:v>Phulka</c:v>
                </c:pt>
                <c:pt idx="3">
                  <c:v>Butter Naan</c:v>
                </c:pt>
                <c:pt idx="4">
                  <c:v>Baby corn Manchurian</c:v>
                </c:pt>
                <c:pt idx="5">
                  <c:v>Paneer Paratha</c:v>
                </c:pt>
                <c:pt idx="6">
                  <c:v>Panner Manchurian</c:v>
                </c:pt>
                <c:pt idx="7">
                  <c:v>Brownie with Icecream</c:v>
                </c:pt>
                <c:pt idx="8">
                  <c:v>Paneer Fried Rice</c:v>
                </c:pt>
                <c:pt idx="9">
                  <c:v>Gobi 65</c:v>
                </c:pt>
                <c:pt idx="10">
                  <c:v>Sweet Corn Soup</c:v>
                </c:pt>
                <c:pt idx="11">
                  <c:v>Chocolate Cake</c:v>
                </c:pt>
                <c:pt idx="12">
                  <c:v>Veg Fried Rice</c:v>
                </c:pt>
                <c:pt idx="13">
                  <c:v>Paneer Noodles</c:v>
                </c:pt>
                <c:pt idx="14">
                  <c:v>Kadai Veg</c:v>
                </c:pt>
                <c:pt idx="15">
                  <c:v>Tomato Rice</c:v>
                </c:pt>
                <c:pt idx="16">
                  <c:v>Aloo Paratha</c:v>
                </c:pt>
                <c:pt idx="17">
                  <c:v>Kadai Paneer</c:v>
                </c:pt>
                <c:pt idx="18">
                  <c:v>Triple Chocolate</c:v>
                </c:pt>
                <c:pt idx="19">
                  <c:v>Veg Briyani</c:v>
                </c:pt>
                <c:pt idx="20">
                  <c:v>Coconut Cake</c:v>
                </c:pt>
                <c:pt idx="21">
                  <c:v>Garlic Naan</c:v>
                </c:pt>
                <c:pt idx="22">
                  <c:v>Malai Kofta</c:v>
                </c:pt>
                <c:pt idx="23">
                  <c:v>Green Peas Masala</c:v>
                </c:pt>
                <c:pt idx="24">
                  <c:v>Strawberry Cheese Cake</c:v>
                </c:pt>
                <c:pt idx="25">
                  <c:v>Veg soup</c:v>
                </c:pt>
                <c:pt idx="26">
                  <c:v>Veg Kurma</c:v>
                </c:pt>
              </c:strCache>
            </c:strRef>
          </c:cat>
          <c:val>
            <c:numRef>
              <c:f>'Orders By Food item'!$F$2:$F$28</c:f>
              <c:numCache>
                <c:formatCode>General</c:formatCode>
                <c:ptCount val="27"/>
                <c:pt idx="0">
                  <c:v>85</c:v>
                </c:pt>
                <c:pt idx="1">
                  <c:v>80</c:v>
                </c:pt>
                <c:pt idx="2">
                  <c:v>53</c:v>
                </c:pt>
                <c:pt idx="3">
                  <c:v>45</c:v>
                </c:pt>
                <c:pt idx="4">
                  <c:v>40</c:v>
                </c:pt>
                <c:pt idx="5">
                  <c:v>19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3-4160-9895-BF5D31841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13286184"/>
        <c:axId val="513286904"/>
      </c:lineChart>
      <c:catAx>
        <c:axId val="51328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6904"/>
        <c:crosses val="autoZero"/>
        <c:auto val="1"/>
        <c:lblAlgn val="ctr"/>
        <c:lblOffset val="100"/>
        <c:noMultiLvlLbl val="0"/>
      </c:catAx>
      <c:valAx>
        <c:axId val="51328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618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Food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80-4D26-9BDF-7E0F7BCE08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80-4D26-9BDF-7E0F7BCE08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80-4D26-9BDF-7E0F7BCE08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80-4D26-9BDF-7E0F7BCE08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80-4D26-9BDF-7E0F7BCE08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980-4D26-9BDF-7E0F7BCE08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980-4D26-9BDF-7E0F7BCE08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By Food Category'!$F$2:$F$8</c:f>
              <c:strCache>
                <c:ptCount val="7"/>
                <c:pt idx="0">
                  <c:v>Starters</c:v>
                </c:pt>
                <c:pt idx="1">
                  <c:v>Desert</c:v>
                </c:pt>
                <c:pt idx="2">
                  <c:v>Roti</c:v>
                </c:pt>
                <c:pt idx="3">
                  <c:v>Rice</c:v>
                </c:pt>
                <c:pt idx="4">
                  <c:v>Gravy</c:v>
                </c:pt>
                <c:pt idx="5">
                  <c:v>Noodles</c:v>
                </c:pt>
                <c:pt idx="6">
                  <c:v>Soup</c:v>
                </c:pt>
              </c:strCache>
            </c:strRef>
          </c:cat>
          <c:val>
            <c:numRef>
              <c:f>'Order By Food Category'!$G$2:$G$8</c:f>
              <c:numCache>
                <c:formatCode>"₹"\ #,##0</c:formatCode>
                <c:ptCount val="7"/>
                <c:pt idx="0">
                  <c:v>33695</c:v>
                </c:pt>
                <c:pt idx="1">
                  <c:v>5700</c:v>
                </c:pt>
                <c:pt idx="2">
                  <c:v>4481</c:v>
                </c:pt>
                <c:pt idx="3">
                  <c:v>3585</c:v>
                </c:pt>
                <c:pt idx="4">
                  <c:v>2725</c:v>
                </c:pt>
                <c:pt idx="5">
                  <c:v>1190</c:v>
                </c:pt>
                <c:pt idx="6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980-4D26-9BDF-7E0F7BCE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21</xdr:row>
      <xdr:rowOff>152400</xdr:rowOff>
    </xdr:from>
    <xdr:to>
      <xdr:col>18</xdr:col>
      <xdr:colOff>220980</xdr:colOff>
      <xdr:row>28</xdr:row>
      <xdr:rowOff>30480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0C5922E-F624-44E8-BDA9-76FEE82B9713}"/>
            </a:ext>
          </a:extLst>
        </xdr:cNvPr>
        <xdr:cNvSpPr/>
      </xdr:nvSpPr>
      <xdr:spPr>
        <a:xfrm>
          <a:off x="11430000" y="4290060"/>
          <a:ext cx="2811780" cy="11582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Revenue By</a:t>
          </a:r>
          <a:r>
            <a:rPr lang="en-IN" sz="1800" b="1" baseline="0"/>
            <a:t> Food Category</a:t>
          </a:r>
          <a:endParaRPr lang="en-IN" sz="1800" b="1"/>
        </a:p>
      </xdr:txBody>
    </xdr:sp>
    <xdr:clientData/>
  </xdr:twoCellAnchor>
  <xdr:twoCellAnchor>
    <xdr:from>
      <xdr:col>7</xdr:col>
      <xdr:colOff>350520</xdr:colOff>
      <xdr:row>22</xdr:row>
      <xdr:rowOff>38100</xdr:rowOff>
    </xdr:from>
    <xdr:to>
      <xdr:col>11</xdr:col>
      <xdr:colOff>106680</xdr:colOff>
      <xdr:row>28</xdr:row>
      <xdr:rowOff>83820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AEE2A56-ACAF-4CBA-A255-719707237735}"/>
            </a:ext>
          </a:extLst>
        </xdr:cNvPr>
        <xdr:cNvSpPr/>
      </xdr:nvSpPr>
      <xdr:spPr>
        <a:xfrm>
          <a:off x="5372100" y="4747260"/>
          <a:ext cx="2918460" cy="1143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Count By</a:t>
          </a:r>
          <a:r>
            <a:rPr lang="en-IN" sz="1800" b="1" baseline="0"/>
            <a:t> Food Item</a:t>
          </a:r>
          <a:endParaRPr lang="en-IN" sz="1800" b="1"/>
        </a:p>
      </xdr:txBody>
    </xdr:sp>
    <xdr:clientData/>
  </xdr:twoCellAnchor>
  <xdr:twoCellAnchor>
    <xdr:from>
      <xdr:col>0</xdr:col>
      <xdr:colOff>274320</xdr:colOff>
      <xdr:row>4</xdr:row>
      <xdr:rowOff>160020</xdr:rowOff>
    </xdr:from>
    <xdr:to>
      <xdr:col>5</xdr:col>
      <xdr:colOff>464820</xdr:colOff>
      <xdr:row>19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CCA8FA-9E1F-48C8-9C03-0864640EA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144780</xdr:colOff>
      <xdr:row>22</xdr:row>
      <xdr:rowOff>38100</xdr:rowOff>
    </xdr:from>
    <xdr:to>
      <xdr:col>4</xdr:col>
      <xdr:colOff>304800</xdr:colOff>
      <xdr:row>28</xdr:row>
      <xdr:rowOff>83820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A88E967-045E-0918-52FB-E8280D5BFF28}"/>
            </a:ext>
          </a:extLst>
        </xdr:cNvPr>
        <xdr:cNvSpPr/>
      </xdr:nvSpPr>
      <xdr:spPr>
        <a:xfrm>
          <a:off x="754380" y="4747260"/>
          <a:ext cx="2743200" cy="1143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Revenue By Branch</a:t>
          </a:r>
        </a:p>
      </xdr:txBody>
    </xdr:sp>
    <xdr:clientData/>
  </xdr:twoCellAnchor>
  <xdr:oneCellAnchor>
    <xdr:from>
      <xdr:col>1</xdr:col>
      <xdr:colOff>144780</xdr:colOff>
      <xdr:row>23</xdr:row>
      <xdr:rowOff>152400</xdr:rowOff>
    </xdr:from>
    <xdr:ext cx="2743200" cy="579120"/>
    <xdr:sp macro="" textlink="Revenue_By_Branches">
      <xdr:nvSpPr>
        <xdr:cNvPr id="8" name="TextBox 7">
          <a:extLst>
            <a:ext uri="{FF2B5EF4-FFF2-40B4-BE49-F238E27FC236}">
              <a16:creationId xmlns:a16="http://schemas.microsoft.com/office/drawing/2014/main" id="{E9A649D7-3586-1833-911C-42CAB598EE45}"/>
            </a:ext>
          </a:extLst>
        </xdr:cNvPr>
        <xdr:cNvSpPr txBox="1"/>
      </xdr:nvSpPr>
      <xdr:spPr>
        <a:xfrm>
          <a:off x="754380" y="5044440"/>
          <a:ext cx="2743200" cy="579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22DF2110-0E22-45CF-B838-E0551A43E898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2,505</a:t>
          </a:fld>
          <a:endParaRPr lang="en-IN" sz="3600"/>
        </a:p>
      </xdr:txBody>
    </xdr:sp>
    <xdr:clientData/>
  </xdr:oneCellAnchor>
  <xdr:oneCellAnchor>
    <xdr:from>
      <xdr:col>7</xdr:col>
      <xdr:colOff>335280</xdr:colOff>
      <xdr:row>23</xdr:row>
      <xdr:rowOff>152400</xdr:rowOff>
    </xdr:from>
    <xdr:ext cx="2918460" cy="556260"/>
    <xdr:sp macro="" textlink="Count_By_Food_Item">
      <xdr:nvSpPr>
        <xdr:cNvPr id="11" name="TextBox 10">
          <a:extLst>
            <a:ext uri="{FF2B5EF4-FFF2-40B4-BE49-F238E27FC236}">
              <a16:creationId xmlns:a16="http://schemas.microsoft.com/office/drawing/2014/main" id="{7DCF5FB7-8A74-4FCA-86D1-453E63D452D3}"/>
            </a:ext>
          </a:extLst>
        </xdr:cNvPr>
        <xdr:cNvSpPr txBox="1"/>
      </xdr:nvSpPr>
      <xdr:spPr>
        <a:xfrm>
          <a:off x="5356860" y="5044440"/>
          <a:ext cx="2918460" cy="556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8D91830-11C4-4A56-9F35-05BD921CCCCD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40</a:t>
          </a:fld>
          <a:endParaRPr lang="en-IN" sz="3600"/>
        </a:p>
      </xdr:txBody>
    </xdr:sp>
    <xdr:clientData/>
  </xdr:oneCellAnchor>
  <xdr:twoCellAnchor>
    <xdr:from>
      <xdr:col>6</xdr:col>
      <xdr:colOff>152400</xdr:colOff>
      <xdr:row>4</xdr:row>
      <xdr:rowOff>167640</xdr:rowOff>
    </xdr:from>
    <xdr:to>
      <xdr:col>12</xdr:col>
      <xdr:colOff>76200</xdr:colOff>
      <xdr:row>19</xdr:row>
      <xdr:rowOff>167640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B5AF31-4384-47B7-8BB8-9AF4241B2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14</xdr:col>
      <xdr:colOff>579120</xdr:colOff>
      <xdr:row>23</xdr:row>
      <xdr:rowOff>152400</xdr:rowOff>
    </xdr:from>
    <xdr:ext cx="2804160" cy="556260"/>
    <xdr:sp macro="" textlink="Revenue_By_Food_Category">
      <xdr:nvSpPr>
        <xdr:cNvPr id="14" name="TextBox 13">
          <a:extLst>
            <a:ext uri="{FF2B5EF4-FFF2-40B4-BE49-F238E27FC236}">
              <a16:creationId xmlns:a16="http://schemas.microsoft.com/office/drawing/2014/main" id="{2443BF86-4F7E-4B4A-A295-786C4E046C3D}"/>
            </a:ext>
          </a:extLst>
        </xdr:cNvPr>
        <xdr:cNvSpPr txBox="1"/>
      </xdr:nvSpPr>
      <xdr:spPr>
        <a:xfrm>
          <a:off x="11437620" y="4655820"/>
          <a:ext cx="2804160" cy="5562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C3FBBBE1-C778-4D23-A302-6CBD2336EDE5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₹ 5,700</a:t>
          </a:fld>
          <a:endParaRPr lang="en-IN" sz="36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oneCellAnchor>
  <xdr:twoCellAnchor>
    <xdr:from>
      <xdr:col>12</xdr:col>
      <xdr:colOff>518160</xdr:colOff>
      <xdr:row>4</xdr:row>
      <xdr:rowOff>152400</xdr:rowOff>
    </xdr:from>
    <xdr:to>
      <xdr:col>19</xdr:col>
      <xdr:colOff>99060</xdr:colOff>
      <xdr:row>19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146D66A-AD6C-463A-B268-EF3BD33A9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28FB-57D1-4F52-919C-AFB5857E0681}">
  <dimension ref="A1:F41"/>
  <sheetViews>
    <sheetView workbookViewId="0"/>
  </sheetViews>
  <sheetFormatPr defaultRowHeight="14.4" x14ac:dyDescent="0.3"/>
  <cols>
    <col min="1" max="2" width="22.6640625" bestFit="1" customWidth="1"/>
    <col min="4" max="4" width="14.21875" bestFit="1" customWidth="1"/>
    <col min="5" max="6" width="12.109375" bestFit="1" customWidth="1"/>
  </cols>
  <sheetData>
    <row r="1" spans="1:6" ht="21" x14ac:dyDescent="0.4">
      <c r="A1" s="2" t="s">
        <v>41</v>
      </c>
      <c r="B1" s="2" t="s">
        <v>14</v>
      </c>
      <c r="C1" s="2" t="s">
        <v>15</v>
      </c>
      <c r="D1" s="2" t="s">
        <v>42</v>
      </c>
      <c r="E1" s="4" t="s">
        <v>40</v>
      </c>
      <c r="F1" s="7" t="s">
        <v>71</v>
      </c>
    </row>
    <row r="2" spans="1:6" x14ac:dyDescent="0.3">
      <c r="A2" s="1" t="s">
        <v>0</v>
      </c>
      <c r="B2" s="3" t="s">
        <v>3</v>
      </c>
      <c r="C2" s="1">
        <v>170</v>
      </c>
      <c r="D2" s="1" t="s">
        <v>56</v>
      </c>
      <c r="E2" s="1">
        <v>1</v>
      </c>
      <c r="F2" s="1">
        <f>C2*E2</f>
        <v>170</v>
      </c>
    </row>
    <row r="3" spans="1:6" x14ac:dyDescent="0.3">
      <c r="A3" s="1" t="s">
        <v>45</v>
      </c>
      <c r="B3" s="3" t="s">
        <v>11</v>
      </c>
      <c r="C3" s="1">
        <v>65</v>
      </c>
      <c r="D3" s="1" t="s">
        <v>52</v>
      </c>
      <c r="E3" s="1">
        <v>5</v>
      </c>
      <c r="F3" s="1">
        <f t="shared" ref="F3:F41" si="0">C3*E3</f>
        <v>325</v>
      </c>
    </row>
    <row r="4" spans="1:6" x14ac:dyDescent="0.3">
      <c r="A4" s="1" t="s">
        <v>45</v>
      </c>
      <c r="B4" s="3" t="s">
        <v>9</v>
      </c>
      <c r="C4" s="1">
        <v>42</v>
      </c>
      <c r="D4" s="1" t="s">
        <v>52</v>
      </c>
      <c r="E4" s="1">
        <v>3</v>
      </c>
      <c r="F4" s="1">
        <f t="shared" si="0"/>
        <v>126</v>
      </c>
    </row>
    <row r="5" spans="1:6" x14ac:dyDescent="0.3">
      <c r="A5" s="1" t="s">
        <v>21</v>
      </c>
      <c r="B5" s="3" t="s">
        <v>23</v>
      </c>
      <c r="C5" s="1">
        <v>170</v>
      </c>
      <c r="D5" s="1" t="s">
        <v>52</v>
      </c>
      <c r="E5" s="1">
        <v>3</v>
      </c>
      <c r="F5" s="1">
        <f t="shared" si="0"/>
        <v>510</v>
      </c>
    </row>
    <row r="6" spans="1:6" x14ac:dyDescent="0.3">
      <c r="A6" s="1" t="s">
        <v>13</v>
      </c>
      <c r="B6" s="3" t="s">
        <v>19</v>
      </c>
      <c r="C6" s="1">
        <v>120</v>
      </c>
      <c r="D6" s="1" t="s">
        <v>56</v>
      </c>
      <c r="E6" s="1">
        <v>4</v>
      </c>
      <c r="F6" s="1">
        <f t="shared" si="0"/>
        <v>480</v>
      </c>
    </row>
    <row r="7" spans="1:6" x14ac:dyDescent="0.3">
      <c r="A7" s="1" t="s">
        <v>46</v>
      </c>
      <c r="B7" s="3" t="s">
        <v>37</v>
      </c>
      <c r="C7" s="1">
        <v>140</v>
      </c>
      <c r="D7" s="1" t="s">
        <v>56</v>
      </c>
      <c r="E7" s="1">
        <v>2</v>
      </c>
      <c r="F7" s="1">
        <f t="shared" si="0"/>
        <v>280</v>
      </c>
    </row>
    <row r="8" spans="1:6" x14ac:dyDescent="0.3">
      <c r="A8" s="1" t="s">
        <v>0</v>
      </c>
      <c r="B8" s="3" t="s">
        <v>3</v>
      </c>
      <c r="C8" s="1">
        <v>170</v>
      </c>
      <c r="D8" s="1" t="s">
        <v>44</v>
      </c>
      <c r="E8" s="1">
        <v>34</v>
      </c>
      <c r="F8" s="1">
        <f t="shared" si="0"/>
        <v>5780</v>
      </c>
    </row>
    <row r="9" spans="1:6" x14ac:dyDescent="0.3">
      <c r="A9" s="1" t="s">
        <v>45</v>
      </c>
      <c r="B9" s="3" t="s">
        <v>10</v>
      </c>
      <c r="C9" s="1">
        <v>15</v>
      </c>
      <c r="D9" s="1" t="s">
        <v>44</v>
      </c>
      <c r="E9" s="1">
        <v>14</v>
      </c>
      <c r="F9" s="1">
        <f t="shared" si="0"/>
        <v>210</v>
      </c>
    </row>
    <row r="10" spans="1:6" x14ac:dyDescent="0.3">
      <c r="A10" s="1" t="s">
        <v>21</v>
      </c>
      <c r="B10" s="3" t="s">
        <v>24</v>
      </c>
      <c r="C10" s="1">
        <v>160</v>
      </c>
      <c r="D10" s="1" t="s">
        <v>44</v>
      </c>
      <c r="E10" s="1">
        <v>6</v>
      </c>
      <c r="F10" s="1">
        <f t="shared" si="0"/>
        <v>960</v>
      </c>
    </row>
    <row r="11" spans="1:6" x14ac:dyDescent="0.3">
      <c r="A11" s="1" t="s">
        <v>0</v>
      </c>
      <c r="B11" s="3" t="s">
        <v>1</v>
      </c>
      <c r="C11" s="1">
        <v>110</v>
      </c>
      <c r="D11" s="1" t="s">
        <v>43</v>
      </c>
      <c r="E11" s="1">
        <v>15</v>
      </c>
      <c r="F11" s="1">
        <f t="shared" si="0"/>
        <v>1650</v>
      </c>
    </row>
    <row r="12" spans="1:6" x14ac:dyDescent="0.3">
      <c r="A12" s="1" t="s">
        <v>0</v>
      </c>
      <c r="B12" s="3" t="s">
        <v>3</v>
      </c>
      <c r="C12" s="1">
        <v>170</v>
      </c>
      <c r="D12" s="1" t="s">
        <v>43</v>
      </c>
      <c r="E12" s="1">
        <v>12</v>
      </c>
      <c r="F12" s="1">
        <f t="shared" si="0"/>
        <v>2040</v>
      </c>
    </row>
    <row r="13" spans="1:6" x14ac:dyDescent="0.3">
      <c r="A13" s="1" t="s">
        <v>45</v>
      </c>
      <c r="B13" s="3" t="s">
        <v>12</v>
      </c>
      <c r="C13" s="1">
        <v>85</v>
      </c>
      <c r="D13" s="1" t="s">
        <v>43</v>
      </c>
      <c r="E13" s="1">
        <v>19</v>
      </c>
      <c r="F13" s="1">
        <f t="shared" si="0"/>
        <v>1615</v>
      </c>
    </row>
    <row r="14" spans="1:6" x14ac:dyDescent="0.3">
      <c r="A14" s="1" t="s">
        <v>46</v>
      </c>
      <c r="B14" s="3" t="s">
        <v>37</v>
      </c>
      <c r="C14" s="1">
        <v>140</v>
      </c>
      <c r="D14" s="1" t="s">
        <v>43</v>
      </c>
      <c r="E14" s="1">
        <v>4</v>
      </c>
      <c r="F14" s="1">
        <f t="shared" si="0"/>
        <v>560</v>
      </c>
    </row>
    <row r="15" spans="1:6" x14ac:dyDescent="0.3">
      <c r="A15" s="1" t="s">
        <v>6</v>
      </c>
      <c r="B15" s="3" t="s">
        <v>39</v>
      </c>
      <c r="C15" s="1">
        <v>80</v>
      </c>
      <c r="D15" s="1" t="s">
        <v>60</v>
      </c>
      <c r="E15" s="1">
        <v>7</v>
      </c>
      <c r="F15" s="1">
        <f t="shared" si="0"/>
        <v>560</v>
      </c>
    </row>
    <row r="16" spans="1:6" x14ac:dyDescent="0.3">
      <c r="A16" s="1" t="s">
        <v>0</v>
      </c>
      <c r="B16" s="3" t="s">
        <v>1</v>
      </c>
      <c r="C16" s="1">
        <v>110</v>
      </c>
      <c r="D16" s="1" t="s">
        <v>48</v>
      </c>
      <c r="E16" s="1">
        <v>12</v>
      </c>
      <c r="F16" s="1">
        <f t="shared" si="0"/>
        <v>1320</v>
      </c>
    </row>
    <row r="17" spans="1:6" x14ac:dyDescent="0.3">
      <c r="A17" s="1" t="s">
        <v>6</v>
      </c>
      <c r="B17" s="3" t="s">
        <v>39</v>
      </c>
      <c r="C17" s="1">
        <v>80</v>
      </c>
      <c r="D17" s="1" t="s">
        <v>48</v>
      </c>
      <c r="E17" s="1">
        <v>3</v>
      </c>
      <c r="F17" s="1">
        <f t="shared" si="0"/>
        <v>240</v>
      </c>
    </row>
    <row r="18" spans="1:6" x14ac:dyDescent="0.3">
      <c r="A18" s="1" t="s">
        <v>13</v>
      </c>
      <c r="B18" s="3" t="s">
        <v>16</v>
      </c>
      <c r="C18" s="1">
        <v>105</v>
      </c>
      <c r="D18" s="1" t="s">
        <v>48</v>
      </c>
      <c r="E18" s="1">
        <v>9</v>
      </c>
      <c r="F18" s="1">
        <f t="shared" si="0"/>
        <v>945</v>
      </c>
    </row>
    <row r="19" spans="1:6" x14ac:dyDescent="0.3">
      <c r="A19" s="1" t="s">
        <v>0</v>
      </c>
      <c r="B19" s="3" t="s">
        <v>1</v>
      </c>
      <c r="C19" s="1">
        <v>110</v>
      </c>
      <c r="D19" s="1" t="s">
        <v>50</v>
      </c>
      <c r="E19" s="1">
        <v>22</v>
      </c>
      <c r="F19" s="1">
        <f t="shared" si="0"/>
        <v>2420</v>
      </c>
    </row>
    <row r="20" spans="1:6" x14ac:dyDescent="0.3">
      <c r="A20" s="1" t="s">
        <v>0</v>
      </c>
      <c r="B20" s="3" t="s">
        <v>5</v>
      </c>
      <c r="C20" s="1">
        <v>170</v>
      </c>
      <c r="D20" s="1" t="s">
        <v>50</v>
      </c>
      <c r="E20" s="1">
        <v>23</v>
      </c>
      <c r="F20" s="1">
        <f t="shared" si="0"/>
        <v>3910</v>
      </c>
    </row>
    <row r="21" spans="1:6" x14ac:dyDescent="0.3">
      <c r="A21" s="1" t="s">
        <v>13</v>
      </c>
      <c r="B21" s="3" t="s">
        <v>17</v>
      </c>
      <c r="C21" s="1">
        <v>125</v>
      </c>
      <c r="D21" s="1" t="s">
        <v>50</v>
      </c>
      <c r="E21" s="1">
        <v>12</v>
      </c>
      <c r="F21" s="1">
        <f t="shared" si="0"/>
        <v>1500</v>
      </c>
    </row>
    <row r="22" spans="1:6" x14ac:dyDescent="0.3">
      <c r="A22" s="1" t="s">
        <v>27</v>
      </c>
      <c r="B22" s="3" t="s">
        <v>30</v>
      </c>
      <c r="C22" s="1">
        <v>170</v>
      </c>
      <c r="D22" s="1" t="s">
        <v>57</v>
      </c>
      <c r="E22" s="1">
        <v>7</v>
      </c>
      <c r="F22" s="1">
        <f t="shared" si="0"/>
        <v>1190</v>
      </c>
    </row>
    <row r="23" spans="1:6" x14ac:dyDescent="0.3">
      <c r="A23" s="1" t="s">
        <v>0</v>
      </c>
      <c r="B23" s="3" t="s">
        <v>5</v>
      </c>
      <c r="C23" s="1">
        <v>170</v>
      </c>
      <c r="D23" s="1" t="s">
        <v>59</v>
      </c>
      <c r="E23" s="1">
        <v>17</v>
      </c>
      <c r="F23" s="1">
        <f t="shared" si="0"/>
        <v>2890</v>
      </c>
    </row>
    <row r="24" spans="1:6" x14ac:dyDescent="0.3">
      <c r="A24" s="1" t="s">
        <v>13</v>
      </c>
      <c r="B24" s="3" t="s">
        <v>20</v>
      </c>
      <c r="C24" s="1">
        <v>110</v>
      </c>
      <c r="D24" s="1" t="s">
        <v>59</v>
      </c>
      <c r="E24" s="1">
        <v>6</v>
      </c>
      <c r="F24" s="1">
        <f t="shared" si="0"/>
        <v>660</v>
      </c>
    </row>
    <row r="25" spans="1:6" x14ac:dyDescent="0.3">
      <c r="A25" s="1" t="s">
        <v>46</v>
      </c>
      <c r="B25" s="3" t="s">
        <v>34</v>
      </c>
      <c r="C25" s="1">
        <v>280</v>
      </c>
      <c r="D25" s="1" t="s">
        <v>59</v>
      </c>
      <c r="E25" s="1">
        <v>2</v>
      </c>
      <c r="F25" s="1">
        <f t="shared" si="0"/>
        <v>560</v>
      </c>
    </row>
    <row r="26" spans="1:6" x14ac:dyDescent="0.3">
      <c r="A26" s="1" t="s">
        <v>0</v>
      </c>
      <c r="B26" s="3" t="s">
        <v>3</v>
      </c>
      <c r="C26" s="1">
        <v>170</v>
      </c>
      <c r="D26" s="1" t="s">
        <v>51</v>
      </c>
      <c r="E26" s="1">
        <v>21</v>
      </c>
      <c r="F26" s="1">
        <f t="shared" si="0"/>
        <v>3570</v>
      </c>
    </row>
    <row r="27" spans="1:6" x14ac:dyDescent="0.3">
      <c r="A27" s="1" t="s">
        <v>6</v>
      </c>
      <c r="B27" s="3" t="s">
        <v>38</v>
      </c>
      <c r="C27" s="1">
        <v>80</v>
      </c>
      <c r="D27" s="1" t="s">
        <v>51</v>
      </c>
      <c r="E27" s="1">
        <v>2</v>
      </c>
      <c r="F27" s="1">
        <f t="shared" si="0"/>
        <v>160</v>
      </c>
    </row>
    <row r="28" spans="1:6" x14ac:dyDescent="0.3">
      <c r="A28" s="1" t="s">
        <v>0</v>
      </c>
      <c r="B28" s="3" t="s">
        <v>1</v>
      </c>
      <c r="C28" s="1">
        <v>110</v>
      </c>
      <c r="D28" s="1" t="s">
        <v>49</v>
      </c>
      <c r="E28" s="1">
        <v>20</v>
      </c>
      <c r="F28" s="1">
        <f t="shared" si="0"/>
        <v>2200</v>
      </c>
    </row>
    <row r="29" spans="1:6" x14ac:dyDescent="0.3">
      <c r="A29" s="1" t="s">
        <v>21</v>
      </c>
      <c r="B29" s="3" t="s">
        <v>25</v>
      </c>
      <c r="C29" s="1">
        <v>120</v>
      </c>
      <c r="D29" s="1" t="s">
        <v>49</v>
      </c>
      <c r="E29" s="1">
        <v>1</v>
      </c>
      <c r="F29" s="1">
        <f t="shared" si="0"/>
        <v>120</v>
      </c>
    </row>
    <row r="30" spans="1:6" x14ac:dyDescent="0.3">
      <c r="A30" s="1" t="s">
        <v>0</v>
      </c>
      <c r="B30" s="3" t="s">
        <v>2</v>
      </c>
      <c r="C30" s="1">
        <v>120</v>
      </c>
      <c r="D30" s="1" t="s">
        <v>55</v>
      </c>
      <c r="E30" s="1">
        <v>11</v>
      </c>
      <c r="F30" s="1">
        <f t="shared" si="0"/>
        <v>1320</v>
      </c>
    </row>
    <row r="31" spans="1:6" x14ac:dyDescent="0.3">
      <c r="A31" s="1" t="s">
        <v>45</v>
      </c>
      <c r="B31" s="3" t="s">
        <v>10</v>
      </c>
      <c r="C31" s="1">
        <v>15</v>
      </c>
      <c r="D31" s="1" t="s">
        <v>55</v>
      </c>
      <c r="E31" s="1">
        <v>39</v>
      </c>
      <c r="F31" s="1">
        <f t="shared" si="0"/>
        <v>585</v>
      </c>
    </row>
    <row r="32" spans="1:6" x14ac:dyDescent="0.3">
      <c r="A32" s="1" t="s">
        <v>21</v>
      </c>
      <c r="B32" s="3" t="s">
        <v>26</v>
      </c>
      <c r="C32" s="1">
        <v>130</v>
      </c>
      <c r="D32" s="1" t="s">
        <v>55</v>
      </c>
      <c r="E32" s="1">
        <v>2</v>
      </c>
      <c r="F32" s="1">
        <f t="shared" si="0"/>
        <v>260</v>
      </c>
    </row>
    <row r="33" spans="1:6" x14ac:dyDescent="0.3">
      <c r="A33" s="1" t="s">
        <v>46</v>
      </c>
      <c r="B33" s="3" t="s">
        <v>37</v>
      </c>
      <c r="C33" s="1">
        <v>140</v>
      </c>
      <c r="D33" s="1" t="s">
        <v>55</v>
      </c>
      <c r="E33" s="1">
        <v>8</v>
      </c>
      <c r="F33" s="1">
        <f t="shared" si="0"/>
        <v>1120</v>
      </c>
    </row>
    <row r="34" spans="1:6" x14ac:dyDescent="0.3">
      <c r="A34" s="1" t="s">
        <v>46</v>
      </c>
      <c r="B34" s="3" t="s">
        <v>36</v>
      </c>
      <c r="C34" s="1">
        <v>120</v>
      </c>
      <c r="D34" s="1" t="s">
        <v>58</v>
      </c>
      <c r="E34" s="1">
        <v>4</v>
      </c>
      <c r="F34" s="1">
        <f t="shared" si="0"/>
        <v>480</v>
      </c>
    </row>
    <row r="35" spans="1:6" x14ac:dyDescent="0.3">
      <c r="A35" s="1" t="s">
        <v>0</v>
      </c>
      <c r="B35" s="3" t="s">
        <v>4</v>
      </c>
      <c r="C35" s="1">
        <v>175</v>
      </c>
      <c r="D35" s="1" t="s">
        <v>53</v>
      </c>
      <c r="E35" s="1">
        <v>15</v>
      </c>
      <c r="F35" s="1">
        <f t="shared" si="0"/>
        <v>2625</v>
      </c>
    </row>
    <row r="36" spans="1:6" x14ac:dyDescent="0.3">
      <c r="A36" s="1" t="s">
        <v>45</v>
      </c>
      <c r="B36" s="3" t="s">
        <v>8</v>
      </c>
      <c r="C36" s="1">
        <v>36</v>
      </c>
      <c r="D36" s="1" t="s">
        <v>53</v>
      </c>
      <c r="E36" s="1">
        <v>45</v>
      </c>
      <c r="F36" s="1">
        <f t="shared" si="0"/>
        <v>1620</v>
      </c>
    </row>
    <row r="37" spans="1:6" x14ac:dyDescent="0.3">
      <c r="A37" s="1" t="s">
        <v>21</v>
      </c>
      <c r="B37" s="3" t="s">
        <v>22</v>
      </c>
      <c r="C37" s="1">
        <v>175</v>
      </c>
      <c r="D37" s="1" t="s">
        <v>53</v>
      </c>
      <c r="E37" s="1">
        <v>5</v>
      </c>
      <c r="F37" s="1">
        <f t="shared" si="0"/>
        <v>875</v>
      </c>
    </row>
    <row r="38" spans="1:6" x14ac:dyDescent="0.3">
      <c r="A38" s="1" t="s">
        <v>46</v>
      </c>
      <c r="B38" s="3" t="s">
        <v>35</v>
      </c>
      <c r="C38" s="1">
        <v>150</v>
      </c>
      <c r="D38" s="1" t="s">
        <v>53</v>
      </c>
      <c r="E38" s="1">
        <v>3</v>
      </c>
      <c r="F38" s="1">
        <f t="shared" si="0"/>
        <v>450</v>
      </c>
    </row>
    <row r="39" spans="1:6" x14ac:dyDescent="0.3">
      <c r="A39" s="1" t="s">
        <v>0</v>
      </c>
      <c r="B39" s="3" t="s">
        <v>1</v>
      </c>
      <c r="C39" s="1">
        <v>110</v>
      </c>
      <c r="D39" s="1" t="s">
        <v>47</v>
      </c>
      <c r="E39" s="1">
        <v>16</v>
      </c>
      <c r="F39" s="1">
        <f t="shared" si="0"/>
        <v>1760</v>
      </c>
    </row>
    <row r="40" spans="1:6" x14ac:dyDescent="0.3">
      <c r="A40" s="1" t="s">
        <v>0</v>
      </c>
      <c r="B40" s="3" t="s">
        <v>3</v>
      </c>
      <c r="C40" s="1">
        <v>170</v>
      </c>
      <c r="D40" s="1" t="s">
        <v>54</v>
      </c>
      <c r="E40" s="1">
        <v>12</v>
      </c>
      <c r="F40" s="1">
        <f t="shared" si="0"/>
        <v>2040</v>
      </c>
    </row>
    <row r="41" spans="1:6" x14ac:dyDescent="0.3">
      <c r="A41" s="1" t="s">
        <v>46</v>
      </c>
      <c r="B41" s="3" t="s">
        <v>33</v>
      </c>
      <c r="C41" s="1">
        <v>250</v>
      </c>
      <c r="D41" s="1" t="s">
        <v>54</v>
      </c>
      <c r="E41" s="1">
        <v>9</v>
      </c>
      <c r="F41" s="1">
        <f t="shared" si="0"/>
        <v>2250</v>
      </c>
    </row>
  </sheetData>
  <autoFilter ref="A1:E41" xr:uid="{D27928FB-57D1-4F52-919C-AFB5857E0681}">
    <sortState xmlns:xlrd2="http://schemas.microsoft.com/office/spreadsheetml/2017/richdata2" ref="A2:E41">
      <sortCondition ref="D1:D4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BBB00CB-B647-42E1-912A-BE974D00D081}">
          <x14:formula1>
            <xm:f>Data_Validation!$J$2:$J$34</xm:f>
          </x14:formula1>
          <xm:sqref>B2:B41</xm:sqref>
        </x14:dataValidation>
        <x14:dataValidation type="list" allowBlank="1" showInputMessage="1" showErrorMessage="1" xr:uid="{B51F71F5-1BD6-4104-8E26-8C218FB467B0}">
          <x14:formula1>
            <xm:f>Data_Validation!$A$2:$A$17</xm:f>
          </x14:formula1>
          <xm:sqref>D2:D41</xm:sqref>
        </x14:dataValidation>
        <x14:dataValidation type="list" allowBlank="1" showInputMessage="1" showErrorMessage="1" xr:uid="{C5A0980A-3655-442B-9BAB-15C2275D64D2}">
          <x14:formula1>
            <xm:f>Data_Validation!$F$2:$F$8</xm:f>
          </x14:formula1>
          <xm:sqref>A2:A41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57F8-2035-4CBA-9804-8E83F4C7A499}">
  <dimension ref="C1:P4"/>
  <sheetViews>
    <sheetView showGridLines="0" tabSelected="1" workbookViewId="0">
      <selection activeCell="C1" sqref="C1"/>
    </sheetView>
  </sheetViews>
  <sheetFormatPr defaultRowHeight="14.4" x14ac:dyDescent="0.3"/>
  <cols>
    <col min="3" max="3" width="19.88671875" customWidth="1"/>
    <col min="8" max="8" width="17.109375" customWidth="1"/>
    <col min="9" max="9" width="21.44140625" customWidth="1"/>
    <col min="16" max="16" width="19.44140625" bestFit="1" customWidth="1"/>
  </cols>
  <sheetData>
    <row r="1" spans="3:16" ht="46.2" customHeight="1" thickBot="1" x14ac:dyDescent="0.9">
      <c r="C1" s="11"/>
      <c r="D1" s="11"/>
      <c r="E1" s="15" t="s">
        <v>77</v>
      </c>
      <c r="F1" s="15"/>
      <c r="G1" s="15"/>
      <c r="H1" s="15"/>
      <c r="I1" s="15"/>
      <c r="J1" s="15"/>
      <c r="K1" s="15"/>
      <c r="L1" s="15"/>
      <c r="M1" s="15"/>
      <c r="N1" s="15"/>
    </row>
    <row r="2" spans="3:16" ht="15" thickTop="1" x14ac:dyDescent="0.3"/>
    <row r="3" spans="3:16" ht="21" x14ac:dyDescent="0.3">
      <c r="C3" s="12" t="s">
        <v>61</v>
      </c>
      <c r="I3" s="14" t="s">
        <v>66</v>
      </c>
      <c r="J3" s="14"/>
      <c r="P3" s="12" t="s">
        <v>65</v>
      </c>
    </row>
    <row r="4" spans="3:16" x14ac:dyDescent="0.3">
      <c r="C4" s="10" t="s">
        <v>48</v>
      </c>
      <c r="I4" s="10" t="s">
        <v>5</v>
      </c>
      <c r="P4" s="10" t="s">
        <v>46</v>
      </c>
    </row>
  </sheetData>
  <sheetProtection sheet="1" objects="1" scenarios="1"/>
  <mergeCells count="2">
    <mergeCell ref="I3:J3"/>
    <mergeCell ref="E1:N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DD70A76-40CE-4E1A-940B-26D1CE8EE2A0}">
          <x14:formula1>
            <xm:f>Data_Validation!$B$2:$B$17</xm:f>
          </x14:formula1>
          <xm:sqref>C4</xm:sqref>
        </x14:dataValidation>
        <x14:dataValidation type="list" allowBlank="1" showInputMessage="1" showErrorMessage="1" xr:uid="{510E16EC-983B-4031-909D-17047336562C}">
          <x14:formula1>
            <xm:f>Data_Validation!$K$2:$K$34</xm:f>
          </x14:formula1>
          <xm:sqref>I4</xm:sqref>
        </x14:dataValidation>
        <x14:dataValidation type="list" allowBlank="1" showInputMessage="1" showErrorMessage="1" xr:uid="{78764EDD-A637-413D-82B0-11D682F387D0}">
          <x14:formula1>
            <xm:f>Data_Validation!$G$2:$G$8</xm:f>
          </x14:formula1>
          <xm:sqref>P4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5673-A507-429B-A37E-CEDABAAE02E1}">
  <dimension ref="A1:K34"/>
  <sheetViews>
    <sheetView workbookViewId="0">
      <selection activeCell="B2" sqref="B2"/>
    </sheetView>
  </sheetViews>
  <sheetFormatPr defaultRowHeight="14.4" x14ac:dyDescent="0.3"/>
  <cols>
    <col min="1" max="1" width="14.21875" bestFit="1" customWidth="1"/>
    <col min="2" max="2" width="22.5546875" customWidth="1"/>
    <col min="3" max="3" width="18.33203125" bestFit="1" customWidth="1"/>
    <col min="6" max="6" width="12.88671875" bestFit="1" customWidth="1"/>
    <col min="7" max="7" width="19.44140625" bestFit="1" customWidth="1"/>
    <col min="10" max="11" width="22.6640625" bestFit="1" customWidth="1"/>
  </cols>
  <sheetData>
    <row r="1" spans="1:11" x14ac:dyDescent="0.3">
      <c r="A1" s="5" t="s">
        <v>61</v>
      </c>
      <c r="B1" s="5" t="s">
        <v>67</v>
      </c>
      <c r="C1" s="8"/>
      <c r="F1" s="5" t="s">
        <v>65</v>
      </c>
      <c r="G1" s="8" t="s">
        <v>72</v>
      </c>
      <c r="J1" s="5" t="s">
        <v>66</v>
      </c>
      <c r="K1" s="5" t="s">
        <v>68</v>
      </c>
    </row>
    <row r="2" spans="1:11" x14ac:dyDescent="0.3">
      <c r="A2" s="1" t="s">
        <v>43</v>
      </c>
      <c r="B2" s="1" t="str" cm="1">
        <f t="array" ref="B2:B17">_xlfn._xlws.SORT(A2:A17)</f>
        <v>Anna Nagar</v>
      </c>
      <c r="F2" s="1" t="s">
        <v>0</v>
      </c>
      <c r="G2" s="1" t="str" cm="1">
        <f t="array" ref="G2:G8">_xlfn._xlws.SORT(F2:F8)</f>
        <v>Desert</v>
      </c>
      <c r="J2" s="1" t="s">
        <v>1</v>
      </c>
      <c r="K2" s="1" t="str" cm="1">
        <f t="array" ref="K2:K34">_xlfn._xlws.SORT(J2:J34)</f>
        <v>Aloo Paratha</v>
      </c>
    </row>
    <row r="3" spans="1:11" x14ac:dyDescent="0.3">
      <c r="A3" s="1" t="s">
        <v>44</v>
      </c>
      <c r="B3" s="1" t="str">
        <v>Chrompet</v>
      </c>
      <c r="F3" s="1" t="s">
        <v>6</v>
      </c>
      <c r="G3" s="1" t="str">
        <v>Gravy</v>
      </c>
      <c r="J3" s="1" t="s">
        <v>2</v>
      </c>
      <c r="K3" s="1" t="str">
        <v>Baby corn chilli</v>
      </c>
    </row>
    <row r="4" spans="1:11" x14ac:dyDescent="0.3">
      <c r="A4" s="1" t="s">
        <v>47</v>
      </c>
      <c r="B4" s="1" t="str">
        <v>Guindy</v>
      </c>
      <c r="F4" s="1" t="s">
        <v>45</v>
      </c>
      <c r="G4" s="1" t="str">
        <v>Noodles</v>
      </c>
      <c r="J4" s="1" t="s">
        <v>3</v>
      </c>
      <c r="K4" s="1" t="str">
        <v>Baby corn Manchurian</v>
      </c>
    </row>
    <row r="5" spans="1:11" x14ac:dyDescent="0.3">
      <c r="A5" s="1" t="s">
        <v>48</v>
      </c>
      <c r="B5" s="1" t="str">
        <v>K.K Nagar</v>
      </c>
      <c r="F5" s="1" t="s">
        <v>13</v>
      </c>
      <c r="G5" s="1" t="str">
        <v>Rice</v>
      </c>
      <c r="J5" s="1" t="s">
        <v>4</v>
      </c>
      <c r="K5" s="1" t="str">
        <v>Brownie with Icecream</v>
      </c>
    </row>
    <row r="6" spans="1:11" x14ac:dyDescent="0.3">
      <c r="A6" s="1" t="s">
        <v>49</v>
      </c>
      <c r="B6" s="1" t="str">
        <v>Kodambakkam</v>
      </c>
      <c r="F6" s="1" t="s">
        <v>21</v>
      </c>
      <c r="G6" s="1" t="str">
        <v>Roti</v>
      </c>
      <c r="J6" s="1" t="s">
        <v>5</v>
      </c>
      <c r="K6" s="1" t="str">
        <v>Butter Naan</v>
      </c>
    </row>
    <row r="7" spans="1:11" x14ac:dyDescent="0.3">
      <c r="A7" s="1" t="s">
        <v>50</v>
      </c>
      <c r="B7" s="1" t="str">
        <v>Kolapakkam</v>
      </c>
      <c r="F7" s="1" t="s">
        <v>27</v>
      </c>
      <c r="G7" s="1" t="str">
        <v>Soup</v>
      </c>
      <c r="J7" s="1" t="s">
        <v>7</v>
      </c>
      <c r="K7" s="1" t="str">
        <v>Chocolate Cake</v>
      </c>
    </row>
    <row r="8" spans="1:11" x14ac:dyDescent="0.3">
      <c r="A8" s="1" t="s">
        <v>51</v>
      </c>
      <c r="B8" s="1" t="str">
        <v>Maduravoyal</v>
      </c>
      <c r="F8" s="1" t="s">
        <v>46</v>
      </c>
      <c r="G8" s="1" t="str">
        <v>Starters</v>
      </c>
      <c r="J8" s="1" t="s">
        <v>38</v>
      </c>
      <c r="K8" s="1" t="str">
        <v>Coconut Cake</v>
      </c>
    </row>
    <row r="9" spans="1:11" x14ac:dyDescent="0.3">
      <c r="A9" s="1" t="s">
        <v>52</v>
      </c>
      <c r="B9" s="1" t="str">
        <v>Mogapir</v>
      </c>
      <c r="J9" s="1" t="s">
        <v>39</v>
      </c>
      <c r="K9" s="1" t="str">
        <v>Garlic Naan</v>
      </c>
    </row>
    <row r="10" spans="1:11" x14ac:dyDescent="0.3">
      <c r="A10" s="1" t="s">
        <v>53</v>
      </c>
      <c r="B10" s="1" t="str">
        <v>Nungambakkam</v>
      </c>
      <c r="J10" s="1" t="s">
        <v>8</v>
      </c>
      <c r="K10" s="1" t="str">
        <v>Ghee Rice</v>
      </c>
    </row>
    <row r="11" spans="1:11" x14ac:dyDescent="0.3">
      <c r="A11" s="1" t="s">
        <v>54</v>
      </c>
      <c r="B11" s="1" t="str">
        <v>Pallavaram</v>
      </c>
      <c r="J11" s="1" t="s">
        <v>9</v>
      </c>
      <c r="K11" s="1" t="str">
        <v>Gobi 65</v>
      </c>
    </row>
    <row r="12" spans="1:11" x14ac:dyDescent="0.3">
      <c r="A12" s="1" t="s">
        <v>55</v>
      </c>
      <c r="B12" s="1" t="str">
        <v>Porur</v>
      </c>
      <c r="J12" s="1" t="s">
        <v>10</v>
      </c>
      <c r="K12" s="1" t="str">
        <v>Gobi Manchurian</v>
      </c>
    </row>
    <row r="13" spans="1:11" x14ac:dyDescent="0.3">
      <c r="A13" s="1" t="s">
        <v>56</v>
      </c>
      <c r="B13" s="1" t="str">
        <v>Saidapet</v>
      </c>
      <c r="J13" s="1" t="s">
        <v>11</v>
      </c>
      <c r="K13" s="1" t="str">
        <v>Green Peas Masala</v>
      </c>
    </row>
    <row r="14" spans="1:11" x14ac:dyDescent="0.3">
      <c r="A14" s="1" t="s">
        <v>57</v>
      </c>
      <c r="B14" s="1" t="str">
        <v>Sholinganallur</v>
      </c>
      <c r="J14" s="1" t="s">
        <v>12</v>
      </c>
      <c r="K14" s="1" t="str">
        <v>Kadai Paneer</v>
      </c>
    </row>
    <row r="15" spans="1:11" x14ac:dyDescent="0.3">
      <c r="A15" s="1" t="s">
        <v>58</v>
      </c>
      <c r="B15" s="1" t="str">
        <v>T. Nagar</v>
      </c>
      <c r="J15" s="1" t="s">
        <v>16</v>
      </c>
      <c r="K15" s="1" t="str">
        <v>Kadai Veg</v>
      </c>
    </row>
    <row r="16" spans="1:11" x14ac:dyDescent="0.3">
      <c r="A16" s="1" t="s">
        <v>59</v>
      </c>
      <c r="B16" s="1" t="str">
        <v>Tambaram</v>
      </c>
      <c r="J16" s="1" t="s">
        <v>17</v>
      </c>
      <c r="K16" s="1" t="str">
        <v>Malai Kofta</v>
      </c>
    </row>
    <row r="17" spans="1:11" x14ac:dyDescent="0.3">
      <c r="A17" s="1" t="s">
        <v>60</v>
      </c>
      <c r="B17" s="1" t="str">
        <v>Velacherry</v>
      </c>
      <c r="J17" s="1" t="s">
        <v>18</v>
      </c>
      <c r="K17" s="1" t="str">
        <v>Mushroom Noodles</v>
      </c>
    </row>
    <row r="18" spans="1:11" x14ac:dyDescent="0.3">
      <c r="J18" s="1" t="s">
        <v>19</v>
      </c>
      <c r="K18" s="1" t="str">
        <v>Paneer Fried Rice</v>
      </c>
    </row>
    <row r="19" spans="1:11" x14ac:dyDescent="0.3">
      <c r="J19" s="1" t="s">
        <v>20</v>
      </c>
      <c r="K19" s="1" t="str">
        <v>Paneer Noodles</v>
      </c>
    </row>
    <row r="20" spans="1:11" x14ac:dyDescent="0.3">
      <c r="J20" s="1" t="s">
        <v>22</v>
      </c>
      <c r="K20" s="1" t="str">
        <v>Paneer Paratha</v>
      </c>
    </row>
    <row r="21" spans="1:11" x14ac:dyDescent="0.3">
      <c r="J21" s="1" t="s">
        <v>23</v>
      </c>
      <c r="K21" s="1" t="str">
        <v>Panner Manchurian</v>
      </c>
    </row>
    <row r="22" spans="1:11" x14ac:dyDescent="0.3">
      <c r="J22" s="1" t="s">
        <v>24</v>
      </c>
      <c r="K22" s="1" t="str">
        <v>Phulka</v>
      </c>
    </row>
    <row r="23" spans="1:11" x14ac:dyDescent="0.3">
      <c r="J23" s="1" t="s">
        <v>25</v>
      </c>
      <c r="K23" s="1" t="str">
        <v>Schezwan Paneer Noodles</v>
      </c>
    </row>
    <row r="24" spans="1:11" x14ac:dyDescent="0.3">
      <c r="J24" s="1" t="s">
        <v>26</v>
      </c>
      <c r="K24" s="1" t="str">
        <v>Schezwan Veg Noodles</v>
      </c>
    </row>
    <row r="25" spans="1:11" x14ac:dyDescent="0.3">
      <c r="J25" s="1" t="s">
        <v>28</v>
      </c>
      <c r="K25" s="1" t="str">
        <v>Strawberry Cheese Cake</v>
      </c>
    </row>
    <row r="26" spans="1:11" x14ac:dyDescent="0.3">
      <c r="J26" s="1" t="s">
        <v>29</v>
      </c>
      <c r="K26" s="1" t="str">
        <v>Sweet Corn Soup</v>
      </c>
    </row>
    <row r="27" spans="1:11" x14ac:dyDescent="0.3">
      <c r="J27" s="1" t="s">
        <v>30</v>
      </c>
      <c r="K27" s="1" t="str">
        <v>Tomato Rice</v>
      </c>
    </row>
    <row r="28" spans="1:11" x14ac:dyDescent="0.3">
      <c r="J28" s="1" t="s">
        <v>31</v>
      </c>
      <c r="K28" s="1" t="str">
        <v>Tomato Soup</v>
      </c>
    </row>
    <row r="29" spans="1:11" x14ac:dyDescent="0.3">
      <c r="J29" s="1" t="s">
        <v>32</v>
      </c>
      <c r="K29" s="1" t="str">
        <v>Triple Chocolate</v>
      </c>
    </row>
    <row r="30" spans="1:11" x14ac:dyDescent="0.3">
      <c r="J30" s="1" t="s">
        <v>33</v>
      </c>
      <c r="K30" s="1" t="str">
        <v>Veg Briyani</v>
      </c>
    </row>
    <row r="31" spans="1:11" x14ac:dyDescent="0.3">
      <c r="J31" s="1" t="s">
        <v>34</v>
      </c>
      <c r="K31" s="1" t="str">
        <v>Veg Fried Rice</v>
      </c>
    </row>
    <row r="32" spans="1:11" x14ac:dyDescent="0.3">
      <c r="J32" s="1" t="s">
        <v>35</v>
      </c>
      <c r="K32" s="1" t="str">
        <v>Veg Kurma</v>
      </c>
    </row>
    <row r="33" spans="10:11" x14ac:dyDescent="0.3">
      <c r="J33" s="1" t="s">
        <v>36</v>
      </c>
      <c r="K33" s="1" t="str">
        <v>Veg Noodles</v>
      </c>
    </row>
    <row r="34" spans="10:11" x14ac:dyDescent="0.3">
      <c r="J34" s="1" t="s">
        <v>37</v>
      </c>
      <c r="K34" s="1" t="str">
        <v>Veg soup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2A33-5F0C-4DA0-9416-9165DA94A7FA}">
  <dimension ref="A1:K17"/>
  <sheetViews>
    <sheetView workbookViewId="0">
      <selection activeCell="C20" sqref="C20"/>
    </sheetView>
  </sheetViews>
  <sheetFormatPr defaultRowHeight="14.4" x14ac:dyDescent="0.3"/>
  <cols>
    <col min="1" max="1" width="18.5546875" bestFit="1" customWidth="1"/>
    <col min="2" max="2" width="24.44140625" bestFit="1" customWidth="1"/>
    <col min="3" max="3" width="16.6640625" bestFit="1" customWidth="1"/>
    <col min="4" max="4" width="26.33203125" bestFit="1" customWidth="1"/>
    <col min="7" max="7" width="14.21875" bestFit="1" customWidth="1"/>
    <col min="8" max="8" width="12.88671875" bestFit="1" customWidth="1"/>
  </cols>
  <sheetData>
    <row r="1" spans="1:11" x14ac:dyDescent="0.3">
      <c r="A1" s="5" t="s">
        <v>61</v>
      </c>
      <c r="B1" s="5" t="s">
        <v>62</v>
      </c>
      <c r="C1" s="5" t="s">
        <v>63</v>
      </c>
      <c r="D1" s="5" t="s">
        <v>64</v>
      </c>
      <c r="G1" s="5" t="s">
        <v>75</v>
      </c>
      <c r="H1" s="1"/>
    </row>
    <row r="2" spans="1:11" x14ac:dyDescent="0.3">
      <c r="A2" s="1" t="str" cm="1">
        <f t="array" ref="A2:A17">Data_Validation!A2:A17</f>
        <v>K.K Nagar</v>
      </c>
      <c r="B2" s="1" t="str" cm="1">
        <f t="array" ref="B2:B17">_xlfn.ANCHORARRAY(Data_Validation!B2)</f>
        <v>Anna Nagar</v>
      </c>
      <c r="C2" s="1">
        <f>SUMIF('Basic Data'!$D$2:$D$41,$B2,'Basic Data'!$F$2:$F$41)</f>
        <v>961</v>
      </c>
      <c r="D2" s="1">
        <f>SUMIF('Basic Data'!$D$2:$D$41,$B2,'Basic Data'!$E$2:$E$41)</f>
        <v>11</v>
      </c>
      <c r="G2" s="1" t="str" cm="1">
        <f t="array" ref="G2:H17">_xlfn._xlws.SORT(_xlfn._xlws.FILTER(B2:C17,ISNUMBER(C2:C17)),2,-1)</f>
        <v>Maduravoyal</v>
      </c>
      <c r="H2" s="9">
        <v>7830</v>
      </c>
      <c r="K2" s="13">
        <f>_xlfn.XLOOKUP(branches,G2:G17,H2:H17)</f>
        <v>2505</v>
      </c>
    </row>
    <row r="3" spans="1:11" x14ac:dyDescent="0.3">
      <c r="A3" s="1" t="str">
        <v>Guindy</v>
      </c>
      <c r="B3" s="1" t="str">
        <v>Chrompet</v>
      </c>
      <c r="C3" s="1">
        <f>SUMIF('Basic Data'!$D$2:$D$41,$B3,'Basic Data'!$F$2:$F$41)</f>
        <v>930</v>
      </c>
      <c r="D3" s="1">
        <f>SUMIF('Basic Data'!$D$2:$D$41,$B3,'Basic Data'!$E$2:$E$41)</f>
        <v>7</v>
      </c>
      <c r="G3" s="1" t="str">
        <v>Guindy</v>
      </c>
      <c r="H3" s="9">
        <v>6950</v>
      </c>
    </row>
    <row r="4" spans="1:11" x14ac:dyDescent="0.3">
      <c r="A4" s="1" t="str">
        <v>Tambaram</v>
      </c>
      <c r="B4" s="1" t="str">
        <v>Guindy</v>
      </c>
      <c r="C4" s="1">
        <f>SUMIF('Basic Data'!$D$2:$D$41,$B4,'Basic Data'!$F$2:$F$41)</f>
        <v>6950</v>
      </c>
      <c r="D4" s="1">
        <f>SUMIF('Basic Data'!$D$2:$D$41,$B4,'Basic Data'!$E$2:$E$41)</f>
        <v>54</v>
      </c>
      <c r="G4" s="1" t="str">
        <v>K.K Nagar</v>
      </c>
      <c r="H4" s="9">
        <v>5865</v>
      </c>
    </row>
    <row r="5" spans="1:11" x14ac:dyDescent="0.3">
      <c r="A5" s="1" t="str">
        <v>Kolapakkam</v>
      </c>
      <c r="B5" s="1" t="str">
        <v>K.K Nagar</v>
      </c>
      <c r="C5" s="1">
        <f>SUMIF('Basic Data'!$D$2:$D$41,$B5,'Basic Data'!$F$2:$F$41)</f>
        <v>5865</v>
      </c>
      <c r="D5" s="1">
        <f>SUMIF('Basic Data'!$D$2:$D$41,$B5,'Basic Data'!$E$2:$E$41)</f>
        <v>50</v>
      </c>
      <c r="G5" s="1" t="str">
        <v>T. Nagar</v>
      </c>
      <c r="H5" s="9">
        <v>5570</v>
      </c>
    </row>
    <row r="6" spans="1:11" x14ac:dyDescent="0.3">
      <c r="A6" s="1" t="str">
        <v>Porur</v>
      </c>
      <c r="B6" s="1" t="str">
        <v>Kodambakkam</v>
      </c>
      <c r="C6" s="1">
        <f>SUMIF('Basic Data'!$D$2:$D$41,$B6,'Basic Data'!$F$2:$F$41)</f>
        <v>560</v>
      </c>
      <c r="D6" s="1">
        <f>SUMIF('Basic Data'!$D$2:$D$41,$B6,'Basic Data'!$E$2:$E$41)</f>
        <v>7</v>
      </c>
      <c r="G6" s="1" t="str">
        <v>Velacherry</v>
      </c>
      <c r="H6" s="9">
        <v>4290</v>
      </c>
    </row>
    <row r="7" spans="1:11" x14ac:dyDescent="0.3">
      <c r="A7" s="1" t="str">
        <v>Maduravoyal</v>
      </c>
      <c r="B7" s="1" t="str">
        <v>Kolapakkam</v>
      </c>
      <c r="C7" s="1">
        <f>SUMIF('Basic Data'!$D$2:$D$41,$B7,'Basic Data'!$F$2:$F$41)</f>
        <v>2505</v>
      </c>
      <c r="D7" s="1">
        <f>SUMIF('Basic Data'!$D$2:$D$41,$B7,'Basic Data'!$E$2:$E$41)</f>
        <v>24</v>
      </c>
      <c r="G7" s="1" t="str">
        <v>Nungambakkam</v>
      </c>
      <c r="H7" s="9">
        <v>4110</v>
      </c>
    </row>
    <row r="8" spans="1:11" x14ac:dyDescent="0.3">
      <c r="A8" s="1" t="str">
        <v>Pallavaram</v>
      </c>
      <c r="B8" s="1" t="str">
        <v>Maduravoyal</v>
      </c>
      <c r="C8" s="1">
        <f>SUMIF('Basic Data'!$D$2:$D$41,$B8,'Basic Data'!$F$2:$F$41)</f>
        <v>7830</v>
      </c>
      <c r="D8" s="1">
        <f>SUMIF('Basic Data'!$D$2:$D$41,$B8,'Basic Data'!$E$2:$E$41)</f>
        <v>57</v>
      </c>
      <c r="G8" s="1" t="str">
        <v>Pallavaram</v>
      </c>
      <c r="H8" s="9">
        <v>3730</v>
      </c>
    </row>
    <row r="9" spans="1:11" x14ac:dyDescent="0.3">
      <c r="A9" s="1" t="str">
        <v>Anna Nagar</v>
      </c>
      <c r="B9" s="1" t="str">
        <v>Mogapir</v>
      </c>
      <c r="C9" s="1">
        <f>SUMIF('Basic Data'!$D$2:$D$41,$B9,'Basic Data'!$F$2:$F$41)</f>
        <v>1190</v>
      </c>
      <c r="D9" s="1">
        <f>SUMIF('Basic Data'!$D$2:$D$41,$B9,'Basic Data'!$E$2:$E$41)</f>
        <v>7</v>
      </c>
      <c r="G9" s="1" t="str">
        <v>Saidapet</v>
      </c>
      <c r="H9" s="9">
        <v>3285</v>
      </c>
    </row>
    <row r="10" spans="1:11" x14ac:dyDescent="0.3">
      <c r="A10" s="1" t="str">
        <v>T. Nagar</v>
      </c>
      <c r="B10" s="1" t="str">
        <v>Nungambakkam</v>
      </c>
      <c r="C10" s="1">
        <f>SUMIF('Basic Data'!$D$2:$D$41,$B10,'Basic Data'!$F$2:$F$41)</f>
        <v>4110</v>
      </c>
      <c r="D10" s="1">
        <f>SUMIF('Basic Data'!$D$2:$D$41,$B10,'Basic Data'!$E$2:$E$41)</f>
        <v>25</v>
      </c>
      <c r="G10" s="1" t="str">
        <v>Kolapakkam</v>
      </c>
      <c r="H10" s="9">
        <v>2505</v>
      </c>
    </row>
    <row r="11" spans="1:11" x14ac:dyDescent="0.3">
      <c r="A11" s="1" t="str">
        <v>Velacherry</v>
      </c>
      <c r="B11" s="1" t="str">
        <v>Pallavaram</v>
      </c>
      <c r="C11" s="1">
        <f>SUMIF('Basic Data'!$D$2:$D$41,$B11,'Basic Data'!$F$2:$F$41)</f>
        <v>3730</v>
      </c>
      <c r="D11" s="1">
        <f>SUMIF('Basic Data'!$D$2:$D$41,$B11,'Basic Data'!$E$2:$E$41)</f>
        <v>23</v>
      </c>
      <c r="G11" s="1" t="str">
        <v>Porur</v>
      </c>
      <c r="H11" s="9">
        <v>2320</v>
      </c>
    </row>
    <row r="12" spans="1:11" x14ac:dyDescent="0.3">
      <c r="A12" s="1" t="str">
        <v>Saidapet</v>
      </c>
      <c r="B12" s="1" t="str">
        <v>Porur</v>
      </c>
      <c r="C12" s="1">
        <f>SUMIF('Basic Data'!$D$2:$D$41,$B12,'Basic Data'!$F$2:$F$41)</f>
        <v>2320</v>
      </c>
      <c r="D12" s="1">
        <f>SUMIF('Basic Data'!$D$2:$D$41,$B12,'Basic Data'!$E$2:$E$41)</f>
        <v>21</v>
      </c>
      <c r="G12" s="1" t="str">
        <v>Tambaram</v>
      </c>
      <c r="H12" s="9">
        <v>1760</v>
      </c>
    </row>
    <row r="13" spans="1:11" x14ac:dyDescent="0.3">
      <c r="A13" s="1" t="str">
        <v>Chrompet</v>
      </c>
      <c r="B13" s="1" t="str">
        <v>Saidapet</v>
      </c>
      <c r="C13" s="1">
        <f>SUMIF('Basic Data'!$D$2:$D$41,$B13,'Basic Data'!$F$2:$F$41)</f>
        <v>3285</v>
      </c>
      <c r="D13" s="1">
        <f>SUMIF('Basic Data'!$D$2:$D$41,$B13,'Basic Data'!$E$2:$E$41)</f>
        <v>60</v>
      </c>
      <c r="G13" s="1" t="str">
        <v>Mogapir</v>
      </c>
      <c r="H13" s="9">
        <v>1190</v>
      </c>
    </row>
    <row r="14" spans="1:11" x14ac:dyDescent="0.3">
      <c r="A14" s="1" t="str">
        <v>Mogapir</v>
      </c>
      <c r="B14" s="1" t="str">
        <v>Sholinganallur</v>
      </c>
      <c r="C14" s="1">
        <f>SUMIF('Basic Data'!$D$2:$D$41,$B14,'Basic Data'!$F$2:$F$41)</f>
        <v>480</v>
      </c>
      <c r="D14" s="1">
        <f>SUMIF('Basic Data'!$D$2:$D$41,$B14,'Basic Data'!$E$2:$E$41)</f>
        <v>4</v>
      </c>
      <c r="G14" s="1" t="str">
        <v>Anna Nagar</v>
      </c>
      <c r="H14" s="9">
        <v>961</v>
      </c>
    </row>
    <row r="15" spans="1:11" x14ac:dyDescent="0.3">
      <c r="A15" s="1" t="str">
        <v>Sholinganallur</v>
      </c>
      <c r="B15" s="1" t="str">
        <v>T. Nagar</v>
      </c>
      <c r="C15" s="1">
        <f>SUMIF('Basic Data'!$D$2:$D$41,$B15,'Basic Data'!$F$2:$F$41)</f>
        <v>5570</v>
      </c>
      <c r="D15" s="1">
        <f>SUMIF('Basic Data'!$D$2:$D$41,$B15,'Basic Data'!$E$2:$E$41)</f>
        <v>68</v>
      </c>
      <c r="G15" s="1" t="str">
        <v>Chrompet</v>
      </c>
      <c r="H15" s="9">
        <v>930</v>
      </c>
    </row>
    <row r="16" spans="1:11" x14ac:dyDescent="0.3">
      <c r="A16" s="1" t="str">
        <v>Nungambakkam</v>
      </c>
      <c r="B16" s="1" t="str">
        <v>Tambaram</v>
      </c>
      <c r="C16" s="1">
        <f>SUMIF('Basic Data'!$D$2:$D$41,$B16,'Basic Data'!$F$2:$F$41)</f>
        <v>1760</v>
      </c>
      <c r="D16" s="1">
        <f>SUMIF('Basic Data'!$D$2:$D$41,$B16,'Basic Data'!$E$2:$E$41)</f>
        <v>16</v>
      </c>
      <c r="G16" s="1" t="str">
        <v>Kodambakkam</v>
      </c>
      <c r="H16" s="9">
        <v>560</v>
      </c>
    </row>
    <row r="17" spans="1:8" x14ac:dyDescent="0.3">
      <c r="A17" s="1" t="str">
        <v>Kodambakkam</v>
      </c>
      <c r="B17" s="1" t="str">
        <v>Velacherry</v>
      </c>
      <c r="C17" s="1">
        <f>SUMIF('Basic Data'!$D$2:$D$41,$B17,'Basic Data'!$F$2:$F$41)</f>
        <v>4290</v>
      </c>
      <c r="D17" s="1">
        <f>SUMIF('Basic Data'!$D$2:$D$41,$B17,'Basic Data'!$E$2:$E$41)</f>
        <v>21</v>
      </c>
      <c r="G17" s="1" t="str">
        <v>Sholinganallur</v>
      </c>
      <c r="H17" s="9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EFF8-3687-4A5F-BB56-A2047F9A8130}">
  <dimension ref="A1:H34"/>
  <sheetViews>
    <sheetView workbookViewId="0">
      <selection activeCell="C2" sqref="C2"/>
    </sheetView>
  </sheetViews>
  <sheetFormatPr defaultRowHeight="14.4" x14ac:dyDescent="0.3"/>
  <cols>
    <col min="1" max="1" width="28.5546875" customWidth="1"/>
    <col min="2" max="2" width="32.21875" bestFit="1" customWidth="1"/>
    <col min="3" max="3" width="26.33203125" bestFit="1" customWidth="1"/>
    <col min="4" max="4" width="26.33203125" customWidth="1"/>
    <col min="5" max="5" width="22.6640625" bestFit="1" customWidth="1"/>
    <col min="6" max="6" width="10.44140625" bestFit="1" customWidth="1"/>
  </cols>
  <sheetData>
    <row r="1" spans="1:8" ht="18" x14ac:dyDescent="0.35">
      <c r="A1" s="6" t="s">
        <v>66</v>
      </c>
      <c r="B1" s="6" t="s">
        <v>69</v>
      </c>
      <c r="C1" s="6" t="s">
        <v>70</v>
      </c>
      <c r="D1" s="6"/>
      <c r="E1" s="6" t="s">
        <v>68</v>
      </c>
      <c r="F1" s="1"/>
    </row>
    <row r="2" spans="1:8" x14ac:dyDescent="0.3">
      <c r="A2" s="1" t="str" cm="1">
        <f t="array" ref="A2:A34">_xlfn.ANCHORARRAY(Data_Validation!K2)</f>
        <v>Aloo Paratha</v>
      </c>
      <c r="B2" s="1">
        <f>SUMIF('Basic Data'!$B$2:$B$41,$A2,'Basic Data'!$E$2:$E$41)</f>
        <v>5</v>
      </c>
      <c r="C2" s="1">
        <f>SUMIF('Basic Data'!$B$2:$B$41,$A2,'Basic Data'!$F$2:$F$41)</f>
        <v>325</v>
      </c>
      <c r="D2" s="1"/>
      <c r="E2" s="1" t="str" cm="1">
        <f t="array" ref="E2:F34">_xlfn._xlws.SORT(_xlfn._xlws.FILTER(A2:B34,ISNUMBER(B2:B34)),2,-1)</f>
        <v>Gobi Manchurian</v>
      </c>
      <c r="F2" s="1">
        <v>85</v>
      </c>
      <c r="H2">
        <f>_xlfn.XLOOKUP(Food_Items,E2:E28,F2:F28)</f>
        <v>40</v>
      </c>
    </row>
    <row r="3" spans="1:8" x14ac:dyDescent="0.3">
      <c r="A3" s="1" t="str">
        <v>Baby corn chilli</v>
      </c>
      <c r="B3" s="1">
        <f>SUMIF('Basic Data'!$B$2:$B$41,$A3,'Basic Data'!$E$2:$E$41)</f>
        <v>80</v>
      </c>
      <c r="C3" s="1">
        <f>SUMIF('Basic Data'!$B$2:$B$41,$A3,'Basic Data'!$F$2:$F$41)</f>
        <v>13600</v>
      </c>
      <c r="D3" s="1"/>
      <c r="E3" s="1" t="str">
        <v>Baby corn chilli</v>
      </c>
      <c r="F3" s="1">
        <v>80</v>
      </c>
    </row>
    <row r="4" spans="1:8" x14ac:dyDescent="0.3">
      <c r="A4" s="1" t="str">
        <v>Baby corn Manchurian</v>
      </c>
      <c r="B4" s="1">
        <f>SUMIF('Basic Data'!$B$2:$B$41,$A4,'Basic Data'!$E$2:$E$41)</f>
        <v>40</v>
      </c>
      <c r="C4" s="1">
        <f>SUMIF('Basic Data'!$B$2:$B$41,$A4,'Basic Data'!$F$2:$F$41)</f>
        <v>6800</v>
      </c>
      <c r="D4" s="1"/>
      <c r="E4" s="1" t="str">
        <v>Phulka</v>
      </c>
      <c r="F4" s="1">
        <v>53</v>
      </c>
    </row>
    <row r="5" spans="1:8" x14ac:dyDescent="0.3">
      <c r="A5" s="1" t="str">
        <v>Brownie with Icecream</v>
      </c>
      <c r="B5" s="1">
        <f>SUMIF('Basic Data'!$B$2:$B$41,$A5,'Basic Data'!$E$2:$E$41)</f>
        <v>14</v>
      </c>
      <c r="C5" s="1">
        <f>SUMIF('Basic Data'!$B$2:$B$41,$A5,'Basic Data'!$F$2:$F$41)</f>
        <v>1960</v>
      </c>
      <c r="D5" s="1"/>
      <c r="E5" s="1" t="str">
        <v>Butter Naan</v>
      </c>
      <c r="F5" s="1">
        <v>45</v>
      </c>
    </row>
    <row r="6" spans="1:8" x14ac:dyDescent="0.3">
      <c r="A6" s="1" t="str">
        <v>Butter Naan</v>
      </c>
      <c r="B6" s="1">
        <f>SUMIF('Basic Data'!$B$2:$B$41,$A6,'Basic Data'!$E$2:$E$41)</f>
        <v>45</v>
      </c>
      <c r="C6" s="1">
        <f>SUMIF('Basic Data'!$B$2:$B$41,$A6,'Basic Data'!$F$2:$F$41)</f>
        <v>1620</v>
      </c>
      <c r="D6" s="1"/>
      <c r="E6" s="1" t="str">
        <v>Baby corn Manchurian</v>
      </c>
      <c r="F6" s="1">
        <v>40</v>
      </c>
    </row>
    <row r="7" spans="1:8" x14ac:dyDescent="0.3">
      <c r="A7" s="1" t="str">
        <v>Chocolate Cake</v>
      </c>
      <c r="B7" s="1">
        <f>SUMIF('Basic Data'!$B$2:$B$41,$A7,'Basic Data'!$E$2:$E$41)</f>
        <v>9</v>
      </c>
      <c r="C7" s="1">
        <f>SUMIF('Basic Data'!$B$2:$B$41,$A7,'Basic Data'!$F$2:$F$41)</f>
        <v>2250</v>
      </c>
      <c r="D7" s="1"/>
      <c r="E7" s="1" t="str">
        <v>Paneer Paratha</v>
      </c>
      <c r="F7" s="1">
        <v>19</v>
      </c>
    </row>
    <row r="8" spans="1:8" x14ac:dyDescent="0.3">
      <c r="A8" s="1" t="str">
        <v>Coconut Cake</v>
      </c>
      <c r="B8" s="1">
        <f>SUMIF('Basic Data'!$B$2:$B$41,$A8,'Basic Data'!$E$2:$E$41)</f>
        <v>3</v>
      </c>
      <c r="C8" s="1">
        <f>SUMIF('Basic Data'!$B$2:$B$41,$A8,'Basic Data'!$F$2:$F$41)</f>
        <v>450</v>
      </c>
      <c r="D8" s="1"/>
      <c r="E8" s="1" t="str">
        <v>Panner Manchurian</v>
      </c>
      <c r="F8" s="1">
        <v>15</v>
      </c>
    </row>
    <row r="9" spans="1:8" x14ac:dyDescent="0.3">
      <c r="A9" s="1" t="str">
        <v>Garlic Naan</v>
      </c>
      <c r="B9" s="1">
        <f>SUMIF('Basic Data'!$B$2:$B$41,$A9,'Basic Data'!$E$2:$E$41)</f>
        <v>3</v>
      </c>
      <c r="C9" s="1">
        <f>SUMIF('Basic Data'!$B$2:$B$41,$A9,'Basic Data'!$F$2:$F$41)</f>
        <v>126</v>
      </c>
      <c r="D9" s="1"/>
      <c r="E9" s="1" t="str">
        <v>Brownie with Icecream</v>
      </c>
      <c r="F9" s="1">
        <v>14</v>
      </c>
    </row>
    <row r="10" spans="1:8" x14ac:dyDescent="0.3">
      <c r="A10" s="1" t="str">
        <v>Ghee Rice</v>
      </c>
      <c r="B10" s="1">
        <f>SUMIF('Basic Data'!$B$2:$B$41,$A10,'Basic Data'!$E$2:$E$41)</f>
        <v>0</v>
      </c>
      <c r="C10" s="1">
        <f>SUMIF('Basic Data'!$B$2:$B$41,$A10,'Basic Data'!$F$2:$F$41)</f>
        <v>0</v>
      </c>
      <c r="D10" s="1"/>
      <c r="E10" s="1" t="str">
        <v>Paneer Fried Rice</v>
      </c>
      <c r="F10" s="1">
        <v>12</v>
      </c>
    </row>
    <row r="11" spans="1:8" x14ac:dyDescent="0.3">
      <c r="A11" s="1" t="str">
        <v>Gobi 65</v>
      </c>
      <c r="B11" s="1">
        <f>SUMIF('Basic Data'!$B$2:$B$41,$A11,'Basic Data'!$E$2:$E$41)</f>
        <v>11</v>
      </c>
      <c r="C11" s="1">
        <f>SUMIF('Basic Data'!$B$2:$B$41,$A11,'Basic Data'!$F$2:$F$41)</f>
        <v>1320</v>
      </c>
      <c r="D11" s="1"/>
      <c r="E11" s="1" t="str">
        <v>Gobi 65</v>
      </c>
      <c r="F11" s="1">
        <v>11</v>
      </c>
    </row>
    <row r="12" spans="1:8" x14ac:dyDescent="0.3">
      <c r="A12" s="1" t="str">
        <v>Gobi Manchurian</v>
      </c>
      <c r="B12" s="1">
        <f>SUMIF('Basic Data'!$B$2:$B$41,$A12,'Basic Data'!$E$2:$E$41)</f>
        <v>85</v>
      </c>
      <c r="C12" s="1">
        <f>SUMIF('Basic Data'!$B$2:$B$41,$A12,'Basic Data'!$F$2:$F$41)</f>
        <v>9350</v>
      </c>
      <c r="D12" s="1"/>
      <c r="E12" s="1" t="str">
        <v>Sweet Corn Soup</v>
      </c>
      <c r="F12" s="1">
        <v>10</v>
      </c>
    </row>
    <row r="13" spans="1:8" x14ac:dyDescent="0.3">
      <c r="A13" s="1" t="str">
        <v>Green Peas Masala</v>
      </c>
      <c r="B13" s="1">
        <f>SUMIF('Basic Data'!$B$2:$B$41,$A13,'Basic Data'!$E$2:$E$41)</f>
        <v>2</v>
      </c>
      <c r="C13" s="1">
        <f>SUMIF('Basic Data'!$B$2:$B$41,$A13,'Basic Data'!$F$2:$F$41)</f>
        <v>260</v>
      </c>
      <c r="D13" s="1"/>
      <c r="E13" s="1" t="str">
        <v>Chocolate Cake</v>
      </c>
      <c r="F13" s="1">
        <v>9</v>
      </c>
    </row>
    <row r="14" spans="1:8" x14ac:dyDescent="0.3">
      <c r="A14" s="1" t="str">
        <v>Kadai Paneer</v>
      </c>
      <c r="B14" s="1">
        <f>SUMIF('Basic Data'!$B$2:$B$41,$A14,'Basic Data'!$E$2:$E$41)</f>
        <v>5</v>
      </c>
      <c r="C14" s="1">
        <f>SUMIF('Basic Data'!$B$2:$B$41,$A14,'Basic Data'!$F$2:$F$41)</f>
        <v>875</v>
      </c>
      <c r="D14" s="1"/>
      <c r="E14" s="1" t="str">
        <v>Veg Fried Rice</v>
      </c>
      <c r="F14" s="1">
        <v>9</v>
      </c>
    </row>
    <row r="15" spans="1:8" x14ac:dyDescent="0.3">
      <c r="A15" s="1" t="str">
        <v>Kadai Veg</v>
      </c>
      <c r="B15" s="1">
        <f>SUMIF('Basic Data'!$B$2:$B$41,$A15,'Basic Data'!$E$2:$E$41)</f>
        <v>6</v>
      </c>
      <c r="C15" s="1">
        <f>SUMIF('Basic Data'!$B$2:$B$41,$A15,'Basic Data'!$F$2:$F$41)</f>
        <v>960</v>
      </c>
      <c r="D15" s="1"/>
      <c r="E15" s="1" t="str">
        <v>Paneer Noodles</v>
      </c>
      <c r="F15" s="1">
        <v>7</v>
      </c>
    </row>
    <row r="16" spans="1:8" x14ac:dyDescent="0.3">
      <c r="A16" s="1" t="str">
        <v>Malai Kofta</v>
      </c>
      <c r="B16" s="1">
        <f>SUMIF('Basic Data'!$B$2:$B$41,$A16,'Basic Data'!$E$2:$E$41)</f>
        <v>3</v>
      </c>
      <c r="C16" s="1">
        <f>SUMIF('Basic Data'!$B$2:$B$41,$A16,'Basic Data'!$F$2:$F$41)</f>
        <v>510</v>
      </c>
      <c r="D16" s="1"/>
      <c r="E16" s="1" t="str">
        <v>Kadai Veg</v>
      </c>
      <c r="F16" s="1">
        <v>6</v>
      </c>
    </row>
    <row r="17" spans="1:6" x14ac:dyDescent="0.3">
      <c r="A17" s="1" t="str">
        <v>Mushroom Noodles</v>
      </c>
      <c r="B17" s="1">
        <f>SUMIF('Basic Data'!$B$2:$B$41,$A17,'Basic Data'!$E$2:$E$41)</f>
        <v>0</v>
      </c>
      <c r="C17" s="1">
        <f>SUMIF('Basic Data'!$B$2:$B$41,$A17,'Basic Data'!$F$2:$F$41)</f>
        <v>0</v>
      </c>
      <c r="D17" s="1"/>
      <c r="E17" s="1" t="str">
        <v>Tomato Rice</v>
      </c>
      <c r="F17" s="1">
        <v>6</v>
      </c>
    </row>
    <row r="18" spans="1:6" x14ac:dyDescent="0.3">
      <c r="A18" s="1" t="str">
        <v>Paneer Fried Rice</v>
      </c>
      <c r="B18" s="1">
        <f>SUMIF('Basic Data'!$B$2:$B$41,$A18,'Basic Data'!$E$2:$E$41)</f>
        <v>12</v>
      </c>
      <c r="C18" s="1">
        <f>SUMIF('Basic Data'!$B$2:$B$41,$A18,'Basic Data'!$F$2:$F$41)</f>
        <v>1500</v>
      </c>
      <c r="D18" s="1"/>
      <c r="E18" s="1" t="str">
        <v>Aloo Paratha</v>
      </c>
      <c r="F18" s="1">
        <v>5</v>
      </c>
    </row>
    <row r="19" spans="1:6" x14ac:dyDescent="0.3">
      <c r="A19" s="1" t="str">
        <v>Paneer Noodles</v>
      </c>
      <c r="B19" s="1">
        <f>SUMIF('Basic Data'!$B$2:$B$41,$A19,'Basic Data'!$E$2:$E$41)</f>
        <v>7</v>
      </c>
      <c r="C19" s="1">
        <f>SUMIF('Basic Data'!$B$2:$B$41,$A19,'Basic Data'!$F$2:$F$41)</f>
        <v>1190</v>
      </c>
      <c r="D19" s="1"/>
      <c r="E19" s="1" t="str">
        <v>Kadai Paneer</v>
      </c>
      <c r="F19" s="1">
        <v>5</v>
      </c>
    </row>
    <row r="20" spans="1:6" x14ac:dyDescent="0.3">
      <c r="A20" s="1" t="str">
        <v>Paneer Paratha</v>
      </c>
      <c r="B20" s="1">
        <f>SUMIF('Basic Data'!$B$2:$B$41,$A20,'Basic Data'!$E$2:$E$41)</f>
        <v>19</v>
      </c>
      <c r="C20" s="1">
        <f>SUMIF('Basic Data'!$B$2:$B$41,$A20,'Basic Data'!$F$2:$F$41)</f>
        <v>1615</v>
      </c>
      <c r="D20" s="1"/>
      <c r="E20" s="1" t="str">
        <v>Triple Chocolate</v>
      </c>
      <c r="F20" s="1">
        <v>4</v>
      </c>
    </row>
    <row r="21" spans="1:6" x14ac:dyDescent="0.3">
      <c r="A21" s="1" t="str">
        <v>Panner Manchurian</v>
      </c>
      <c r="B21" s="1">
        <f>SUMIF('Basic Data'!$B$2:$B$41,$A21,'Basic Data'!$E$2:$E$41)</f>
        <v>15</v>
      </c>
      <c r="C21" s="1">
        <f>SUMIF('Basic Data'!$B$2:$B$41,$A21,'Basic Data'!$F$2:$F$41)</f>
        <v>2625</v>
      </c>
      <c r="D21" s="1"/>
      <c r="E21" s="1" t="str">
        <v>Veg Briyani</v>
      </c>
      <c r="F21" s="1">
        <v>4</v>
      </c>
    </row>
    <row r="22" spans="1:6" x14ac:dyDescent="0.3">
      <c r="A22" s="1" t="str">
        <v>Phulka</v>
      </c>
      <c r="B22" s="1">
        <f>SUMIF('Basic Data'!$B$2:$B$41,$A22,'Basic Data'!$E$2:$E$41)</f>
        <v>53</v>
      </c>
      <c r="C22" s="1">
        <f>SUMIF('Basic Data'!$B$2:$B$41,$A22,'Basic Data'!$F$2:$F$41)</f>
        <v>795</v>
      </c>
      <c r="D22" s="1"/>
      <c r="E22" s="1" t="str">
        <v>Coconut Cake</v>
      </c>
      <c r="F22" s="1">
        <v>3</v>
      </c>
    </row>
    <row r="23" spans="1:6" x14ac:dyDescent="0.3">
      <c r="A23" s="1" t="str">
        <v>Schezwan Paneer Noodles</v>
      </c>
      <c r="B23" s="1">
        <f>SUMIF('Basic Data'!$B$2:$B$41,$A23,'Basic Data'!$E$2:$E$41)</f>
        <v>0</v>
      </c>
      <c r="C23" s="1">
        <f>SUMIF('Basic Data'!$B$2:$B$41,$A23,'Basic Data'!$F$2:$F$41)</f>
        <v>0</v>
      </c>
      <c r="D23" s="1"/>
      <c r="E23" s="1" t="str">
        <v>Garlic Naan</v>
      </c>
      <c r="F23" s="1">
        <v>3</v>
      </c>
    </row>
    <row r="24" spans="1:6" x14ac:dyDescent="0.3">
      <c r="A24" s="1" t="str">
        <v>Schezwan Veg Noodles</v>
      </c>
      <c r="B24" s="1">
        <f>SUMIF('Basic Data'!$B$2:$B$41,$A24,'Basic Data'!$E$2:$E$41)</f>
        <v>0</v>
      </c>
      <c r="C24" s="1">
        <f>SUMIF('Basic Data'!$B$2:$B$41,$A24,'Basic Data'!$F$2:$F$41)</f>
        <v>0</v>
      </c>
      <c r="D24" s="1"/>
      <c r="E24" s="1" t="str">
        <v>Malai Kofta</v>
      </c>
      <c r="F24" s="1">
        <v>3</v>
      </c>
    </row>
    <row r="25" spans="1:6" x14ac:dyDescent="0.3">
      <c r="A25" s="1" t="str">
        <v>Strawberry Cheese Cake</v>
      </c>
      <c r="B25" s="1">
        <f>SUMIF('Basic Data'!$B$2:$B$41,$A25,'Basic Data'!$E$2:$E$41)</f>
        <v>2</v>
      </c>
      <c r="C25" s="1">
        <f>SUMIF('Basic Data'!$B$2:$B$41,$A25,'Basic Data'!$F$2:$F$41)</f>
        <v>560</v>
      </c>
      <c r="D25" s="1"/>
      <c r="E25" s="1" t="str">
        <v>Green Peas Masala</v>
      </c>
      <c r="F25" s="1">
        <v>2</v>
      </c>
    </row>
    <row r="26" spans="1:6" x14ac:dyDescent="0.3">
      <c r="A26" s="1" t="str">
        <v>Sweet Corn Soup</v>
      </c>
      <c r="B26" s="1">
        <f>SUMIF('Basic Data'!$B$2:$B$41,$A26,'Basic Data'!$E$2:$E$41)</f>
        <v>10</v>
      </c>
      <c r="C26" s="1">
        <f>SUMIF('Basic Data'!$B$2:$B$41,$A26,'Basic Data'!$F$2:$F$41)</f>
        <v>800</v>
      </c>
      <c r="D26" s="1"/>
      <c r="E26" s="1" t="str">
        <v>Strawberry Cheese Cake</v>
      </c>
      <c r="F26" s="1">
        <v>2</v>
      </c>
    </row>
    <row r="27" spans="1:6" x14ac:dyDescent="0.3">
      <c r="A27" s="1" t="str">
        <v>Tomato Rice</v>
      </c>
      <c r="B27" s="1">
        <f>SUMIF('Basic Data'!$B$2:$B$41,$A27,'Basic Data'!$E$2:$E$41)</f>
        <v>6</v>
      </c>
      <c r="C27" s="1">
        <f>SUMIF('Basic Data'!$B$2:$B$41,$A27,'Basic Data'!$F$2:$F$41)</f>
        <v>660</v>
      </c>
      <c r="D27" s="1"/>
      <c r="E27" s="1" t="str">
        <v>Veg soup</v>
      </c>
      <c r="F27" s="1">
        <v>2</v>
      </c>
    </row>
    <row r="28" spans="1:6" x14ac:dyDescent="0.3">
      <c r="A28" s="1" t="str">
        <v>Tomato Soup</v>
      </c>
      <c r="B28" s="1">
        <f>SUMIF('Basic Data'!$B$2:$B$41,$A28,'Basic Data'!$E$2:$E$41)</f>
        <v>0</v>
      </c>
      <c r="C28" s="1">
        <f>SUMIF('Basic Data'!$B$2:$B$41,$A28,'Basic Data'!$F$2:$F$41)</f>
        <v>0</v>
      </c>
      <c r="D28" s="1"/>
      <c r="E28" s="1" t="str">
        <v>Veg Kurma</v>
      </c>
      <c r="F28" s="1">
        <v>1</v>
      </c>
    </row>
    <row r="29" spans="1:6" x14ac:dyDescent="0.3">
      <c r="A29" s="1" t="str">
        <v>Triple Chocolate</v>
      </c>
      <c r="B29" s="1">
        <f>SUMIF('Basic Data'!$B$2:$B$41,$A29,'Basic Data'!$E$2:$E$41)</f>
        <v>4</v>
      </c>
      <c r="C29" s="1">
        <f>SUMIF('Basic Data'!$B$2:$B$41,$A29,'Basic Data'!$F$2:$F$41)</f>
        <v>480</v>
      </c>
      <c r="D29" s="1"/>
      <c r="E29" s="1" t="str">
        <v>Ghee Rice</v>
      </c>
      <c r="F29" s="1">
        <v>0</v>
      </c>
    </row>
    <row r="30" spans="1:6" x14ac:dyDescent="0.3">
      <c r="A30" s="1" t="str">
        <v>Veg Briyani</v>
      </c>
      <c r="B30" s="1">
        <f>SUMIF('Basic Data'!$B$2:$B$41,$A30,'Basic Data'!$E$2:$E$41)</f>
        <v>4</v>
      </c>
      <c r="C30" s="1">
        <f>SUMIF('Basic Data'!$B$2:$B$41,$A30,'Basic Data'!$F$2:$F$41)</f>
        <v>480</v>
      </c>
      <c r="D30" s="1"/>
      <c r="E30" s="1" t="str">
        <v>Mushroom Noodles</v>
      </c>
      <c r="F30" s="1">
        <v>0</v>
      </c>
    </row>
    <row r="31" spans="1:6" x14ac:dyDescent="0.3">
      <c r="A31" s="1" t="str">
        <v>Veg Fried Rice</v>
      </c>
      <c r="B31" s="1">
        <f>SUMIF('Basic Data'!$B$2:$B$41,$A31,'Basic Data'!$E$2:$E$41)</f>
        <v>9</v>
      </c>
      <c r="C31" s="1">
        <f>SUMIF('Basic Data'!$B$2:$B$41,$A31,'Basic Data'!$F$2:$F$41)</f>
        <v>945</v>
      </c>
      <c r="D31" s="1"/>
      <c r="E31" s="1" t="str">
        <v>Schezwan Paneer Noodles</v>
      </c>
      <c r="F31" s="1">
        <v>0</v>
      </c>
    </row>
    <row r="32" spans="1:6" x14ac:dyDescent="0.3">
      <c r="A32" s="1" t="str">
        <v>Veg Kurma</v>
      </c>
      <c r="B32" s="1">
        <f>SUMIF('Basic Data'!$B$2:$B$41,$A32,'Basic Data'!$E$2:$E$41)</f>
        <v>1</v>
      </c>
      <c r="C32" s="1">
        <f>SUMIF('Basic Data'!$B$2:$B$41,$A32,'Basic Data'!$F$2:$F$41)</f>
        <v>120</v>
      </c>
      <c r="D32" s="1"/>
      <c r="E32" s="1" t="str">
        <v>Schezwan Veg Noodles</v>
      </c>
      <c r="F32" s="1">
        <v>0</v>
      </c>
    </row>
    <row r="33" spans="1:6" x14ac:dyDescent="0.3">
      <c r="A33" s="1" t="str">
        <v>Veg Noodles</v>
      </c>
      <c r="B33" s="1">
        <f>SUMIF('Basic Data'!$B$2:$B$41,$A33,'Basic Data'!$E$2:$E$41)</f>
        <v>0</v>
      </c>
      <c r="C33" s="1">
        <f>SUMIF('Basic Data'!$B$2:$B$41,$A33,'Basic Data'!$F$2:$F$41)</f>
        <v>0</v>
      </c>
      <c r="D33" s="1"/>
      <c r="E33" s="1" t="str">
        <v>Tomato Soup</v>
      </c>
      <c r="F33" s="1">
        <v>0</v>
      </c>
    </row>
    <row r="34" spans="1:6" x14ac:dyDescent="0.3">
      <c r="A34" s="1" t="str">
        <v>Veg soup</v>
      </c>
      <c r="B34" s="1">
        <f>SUMIF('Basic Data'!$B$2:$B$41,$A34,'Basic Data'!$E$2:$E$41)</f>
        <v>2</v>
      </c>
      <c r="C34" s="1">
        <f>SUMIF('Basic Data'!$B$2:$B$41,$A34,'Basic Data'!$F$2:$F$41)</f>
        <v>160</v>
      </c>
      <c r="D34" s="1"/>
      <c r="E34" s="1" t="str">
        <v>Veg Noodles</v>
      </c>
      <c r="F3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0218-E71D-4A52-BA47-8A4DDB31C7C7}">
  <dimension ref="A1:J26"/>
  <sheetViews>
    <sheetView workbookViewId="0">
      <selection activeCell="B2" sqref="B2"/>
    </sheetView>
  </sheetViews>
  <sheetFormatPr defaultRowHeight="14.4" x14ac:dyDescent="0.3"/>
  <cols>
    <col min="1" max="1" width="20" customWidth="1"/>
    <col min="2" max="2" width="29.88671875" bestFit="1" customWidth="1"/>
    <col min="3" max="3" width="30.5546875" customWidth="1"/>
    <col min="4" max="4" width="17.88671875" customWidth="1"/>
    <col min="5" max="5" width="19.21875" bestFit="1" customWidth="1"/>
    <col min="6" max="6" width="26.21875" bestFit="1" customWidth="1"/>
    <col min="7" max="7" width="10.44140625" bestFit="1" customWidth="1"/>
    <col min="9" max="9" width="9.44140625" bestFit="1" customWidth="1"/>
  </cols>
  <sheetData>
    <row r="1" spans="1:10" ht="18" x14ac:dyDescent="0.35">
      <c r="A1" s="6" t="s">
        <v>65</v>
      </c>
      <c r="B1" s="6" t="s">
        <v>74</v>
      </c>
      <c r="C1" s="6" t="s">
        <v>73</v>
      </c>
      <c r="D1" s="1"/>
      <c r="E1" s="1"/>
      <c r="F1" s="6" t="s">
        <v>76</v>
      </c>
      <c r="G1" s="1"/>
      <c r="H1" s="1"/>
      <c r="I1" s="1"/>
      <c r="J1" s="1"/>
    </row>
    <row r="2" spans="1:10" x14ac:dyDescent="0.3">
      <c r="A2" s="1" t="str" cm="1">
        <f t="array" ref="A2:A8">_xlfn.ANCHORARRAY(Data_Validation!G2)</f>
        <v>Desert</v>
      </c>
      <c r="B2" s="1">
        <f>SUMIF('Basic Data'!$A$2:$A$41,$A2,'Basic Data'!$F$2:$F$41)</f>
        <v>5700</v>
      </c>
      <c r="C2" s="1">
        <f>SUMIF('Basic Data'!$A$2:$A$41,$A2,'Basic Data'!$E$2:$E$41)</f>
        <v>32</v>
      </c>
      <c r="D2" s="1"/>
      <c r="E2" s="1"/>
      <c r="F2" s="1" t="str" cm="1">
        <f t="array" ref="F2:G8">_xlfn._xlws.SORT(_xlfn._xlws.FILTER(A2:B8,ISNUMBER(B2:B8)),2,-1)</f>
        <v>Starters</v>
      </c>
      <c r="G2" s="9">
        <v>33695</v>
      </c>
      <c r="H2" s="1"/>
      <c r="I2" s="9">
        <f>_xlfn.XLOOKUP(Food_Category,F2:F8,G2:G8)</f>
        <v>5700</v>
      </c>
      <c r="J2" s="1"/>
    </row>
    <row r="3" spans="1:10" x14ac:dyDescent="0.3">
      <c r="A3" s="1" t="str">
        <v>Gravy</v>
      </c>
      <c r="B3" s="1">
        <f>SUMIF('Basic Data'!$A$2:$A$41,$A3,'Basic Data'!$F$2:$F$41)</f>
        <v>2725</v>
      </c>
      <c r="C3" s="1">
        <f>SUMIF('Basic Data'!$A$2:$A$41,$A3,'Basic Data'!$E$2:$E$41)</f>
        <v>17</v>
      </c>
      <c r="D3" s="1"/>
      <c r="E3" s="1"/>
      <c r="F3" s="1" t="str">
        <v>Desert</v>
      </c>
      <c r="G3" s="9">
        <v>5700</v>
      </c>
      <c r="H3" s="1"/>
      <c r="I3" s="1"/>
      <c r="J3" s="1"/>
    </row>
    <row r="4" spans="1:10" x14ac:dyDescent="0.3">
      <c r="A4" s="1" t="str">
        <v>Noodles</v>
      </c>
      <c r="B4" s="1">
        <f>SUMIF('Basic Data'!$A$2:$A$41,$A4,'Basic Data'!$F$2:$F$41)</f>
        <v>1190</v>
      </c>
      <c r="C4" s="1">
        <f>SUMIF('Basic Data'!$A$2:$A$41,$A4,'Basic Data'!$E$2:$E$41)</f>
        <v>7</v>
      </c>
      <c r="D4" s="1"/>
      <c r="E4" s="1"/>
      <c r="F4" s="1" t="str">
        <v>Roti</v>
      </c>
      <c r="G4" s="9">
        <v>4481</v>
      </c>
      <c r="H4" s="1"/>
      <c r="I4" s="1"/>
      <c r="J4" s="1"/>
    </row>
    <row r="5" spans="1:10" x14ac:dyDescent="0.3">
      <c r="A5" s="1" t="str">
        <v>Rice</v>
      </c>
      <c r="B5" s="1">
        <f>SUMIF('Basic Data'!$A$2:$A$41,$A5,'Basic Data'!$F$2:$F$41)</f>
        <v>3585</v>
      </c>
      <c r="C5" s="1">
        <f>SUMIF('Basic Data'!$A$2:$A$41,$A5,'Basic Data'!$E$2:$E$41)</f>
        <v>31</v>
      </c>
      <c r="D5" s="1"/>
      <c r="E5" s="1"/>
      <c r="F5" s="1" t="str">
        <v>Rice</v>
      </c>
      <c r="G5" s="9">
        <v>3585</v>
      </c>
      <c r="H5" s="1"/>
      <c r="I5" s="1"/>
      <c r="J5" s="1"/>
    </row>
    <row r="6" spans="1:10" x14ac:dyDescent="0.3">
      <c r="A6" s="1" t="str">
        <v>Roti</v>
      </c>
      <c r="B6" s="1">
        <f>SUMIF('Basic Data'!$A$2:$A$41,$A6,'Basic Data'!$F$2:$F$41)</f>
        <v>4481</v>
      </c>
      <c r="C6" s="1">
        <f>SUMIF('Basic Data'!$A$2:$A$41,$A6,'Basic Data'!$E$2:$E$41)</f>
        <v>125</v>
      </c>
      <c r="D6" s="1"/>
      <c r="E6" s="1"/>
      <c r="F6" s="1" t="str">
        <v>Gravy</v>
      </c>
      <c r="G6" s="9">
        <v>2725</v>
      </c>
      <c r="H6" s="1"/>
      <c r="I6" s="1"/>
      <c r="J6" s="1"/>
    </row>
    <row r="7" spans="1:10" x14ac:dyDescent="0.3">
      <c r="A7" s="1" t="str">
        <v>Soup</v>
      </c>
      <c r="B7" s="1">
        <f>SUMIF('Basic Data'!$A$2:$A$41,$A7,'Basic Data'!$F$2:$F$41)</f>
        <v>960</v>
      </c>
      <c r="C7" s="1">
        <f>SUMIF('Basic Data'!$A$2:$A$41,$A7,'Basic Data'!$E$2:$E$41)</f>
        <v>12</v>
      </c>
      <c r="D7" s="1"/>
      <c r="E7" s="1"/>
      <c r="F7" s="1" t="str">
        <v>Noodles</v>
      </c>
      <c r="G7" s="9">
        <v>1190</v>
      </c>
      <c r="H7" s="1"/>
      <c r="I7" s="1"/>
      <c r="J7" s="1"/>
    </row>
    <row r="8" spans="1:10" x14ac:dyDescent="0.3">
      <c r="A8" s="1" t="str">
        <v>Starters</v>
      </c>
      <c r="B8" s="1">
        <f>SUMIF('Basic Data'!$A$2:$A$41,$A8,'Basic Data'!$F$2:$F$41)</f>
        <v>33695</v>
      </c>
      <c r="C8" s="1">
        <f>SUMIF('Basic Data'!$A$2:$A$41,$A8,'Basic Data'!$E$2:$E$41)</f>
        <v>231</v>
      </c>
      <c r="D8" s="1"/>
      <c r="E8" s="1"/>
      <c r="F8" s="1" t="str">
        <v>Soup</v>
      </c>
      <c r="G8" s="9">
        <v>960</v>
      </c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Basic Data</vt:lpstr>
      <vt:lpstr>Revenue_Dashboard</vt:lpstr>
      <vt:lpstr>Data_Validation</vt:lpstr>
      <vt:lpstr>Orders By Branches</vt:lpstr>
      <vt:lpstr>Orders By Food item</vt:lpstr>
      <vt:lpstr>Order By Food Category</vt:lpstr>
      <vt:lpstr>branches</vt:lpstr>
      <vt:lpstr>Count_By_Food_Item</vt:lpstr>
      <vt:lpstr>Food_Category</vt:lpstr>
      <vt:lpstr>Food_Items</vt:lpstr>
      <vt:lpstr>Revenue_By_Branches</vt:lpstr>
      <vt:lpstr>Revenue_By_Food_Category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2025-11-20T06:02:24Z</dcterms:created>
  <dcterms:modified xsi:type="dcterms:W3CDTF">2026-01-02T14:59:24Z</dcterms:modified>
</cp:coreProperties>
</file>